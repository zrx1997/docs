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ng\Desktop\Excel模版合集\"/>
    </mc:Choice>
  </mc:AlternateContent>
  <bookViews>
    <workbookView xWindow="0" yWindow="0" windowWidth="25200" windowHeight="11760"/>
  </bookViews>
  <sheets>
    <sheet name="仓库库存清单" sheetId="2" r:id="rId1"/>
    <sheet name="库存选取列表" sheetId="11" r:id="rId2"/>
    <sheet name="箱查找" sheetId="9" r:id="rId3"/>
  </sheets>
  <definedNames>
    <definedName name="BinNumber">箱查找[箱号]</definedName>
    <definedName name="ColumnTitle1">库存清单[[#Headers],[SKU]]</definedName>
    <definedName name="ColumnTitle2">库存选取列表[[#Headers],[订单编号]]</definedName>
    <definedName name="ColumnTitle3">箱查找[[#Headers],[箱号]]</definedName>
    <definedName name="_xlnm.Print_Titles" localSheetId="0">仓库库存清单!$4:$4</definedName>
    <definedName name="_xlnm.Print_Titles" localSheetId="1">库存选取列表!$4:$4</definedName>
    <definedName name="_xlnm.Print_Titles" localSheetId="2">箱查找!$4:$4</definedName>
    <definedName name="SKULookup">库存清单[SKU]</definedName>
  </definedNames>
  <calcPr calcId="171027"/>
</workbook>
</file>

<file path=xl/calcChain.xml><?xml version="1.0" encoding="utf-8"?>
<calcChain xmlns="http://schemas.openxmlformats.org/spreadsheetml/2006/main">
  <c r="H5" i="11" l="1"/>
  <c r="H6" i="11"/>
  <c r="H7" i="11"/>
  <c r="H8" i="11"/>
  <c r="H9" i="11"/>
  <c r="G5" i="11"/>
  <c r="G6" i="11"/>
  <c r="G7" i="11"/>
  <c r="G8" i="11"/>
  <c r="G9" i="11"/>
  <c r="F5" i="11"/>
  <c r="F6" i="11"/>
  <c r="F7" i="11"/>
  <c r="F8" i="11"/>
  <c r="F9" i="11"/>
  <c r="E5" i="11"/>
  <c r="E6" i="11"/>
  <c r="E7" i="11"/>
  <c r="E8" i="11"/>
  <c r="E9" i="11"/>
  <c r="D3" i="2" l="1"/>
  <c r="C3" i="2"/>
  <c r="K6" i="2" l="1"/>
  <c r="K7" i="2"/>
  <c r="K8" i="2"/>
  <c r="K9" i="2"/>
  <c r="K10" i="2"/>
  <c r="K11" i="2"/>
  <c r="K12" i="2"/>
  <c r="K13" i="2"/>
  <c r="K14" i="2"/>
  <c r="K15" i="2"/>
  <c r="K5" i="2"/>
  <c r="J5" i="2"/>
  <c r="J6" i="2"/>
  <c r="J7" i="2"/>
  <c r="J8" i="2"/>
  <c r="J9" i="2"/>
  <c r="J10" i="2"/>
  <c r="J11" i="2"/>
  <c r="J12" i="2"/>
  <c r="J13" i="2"/>
  <c r="J14" i="2"/>
  <c r="J15" i="2"/>
  <c r="E5" i="2"/>
  <c r="I5" i="11" s="1"/>
  <c r="E6" i="2"/>
  <c r="E7" i="2"/>
  <c r="I9" i="11" s="1"/>
  <c r="E8" i="2"/>
  <c r="I6" i="11" s="1"/>
  <c r="E9" i="2"/>
  <c r="E10" i="2"/>
  <c r="E11" i="2"/>
  <c r="I7" i="11" s="1"/>
  <c r="E12" i="2"/>
  <c r="E13" i="2"/>
  <c r="E14" i="2"/>
  <c r="I8" i="11" s="1"/>
  <c r="E15" i="2"/>
  <c r="B3" i="2" l="1"/>
</calcChain>
</file>

<file path=xl/sharedStrings.xml><?xml version="1.0" encoding="utf-8"?>
<sst xmlns="http://schemas.openxmlformats.org/spreadsheetml/2006/main" count="109" uniqueCount="66">
  <si>
    <t>仓库库存清单</t>
  </si>
  <si>
    <t>库存总值:</t>
  </si>
  <si>
    <t>SKU</t>
  </si>
  <si>
    <t>SP7875</t>
  </si>
  <si>
    <t>TR87680</t>
  </si>
  <si>
    <t>MK676554</t>
  </si>
  <si>
    <t>YE98767</t>
  </si>
  <si>
    <t>XR23423</t>
  </si>
  <si>
    <t>PW98762</t>
  </si>
  <si>
    <t>BM87684</t>
  </si>
  <si>
    <t>BH67655</t>
  </si>
  <si>
    <t>WT98768</t>
  </si>
  <si>
    <t>TS3456</t>
  </si>
  <si>
    <t>WDG123</t>
  </si>
  <si>
    <t>库存项目:</t>
  </si>
  <si>
    <t>描述</t>
  </si>
  <si>
    <t>项目 1</t>
  </si>
  <si>
    <t>项目​​ 2</t>
  </si>
  <si>
    <t>项目​​ 3</t>
  </si>
  <si>
    <t>项目 4</t>
  </si>
  <si>
    <t>项目​​ 5</t>
  </si>
  <si>
    <t>项目 6</t>
  </si>
  <si>
    <t>项目 7</t>
  </si>
  <si>
    <t>项目 8</t>
  </si>
  <si>
    <t>项目 9</t>
  </si>
  <si>
    <t>项目 10</t>
  </si>
  <si>
    <t>项目 11</t>
  </si>
  <si>
    <t>箱数:</t>
  </si>
  <si>
    <t>箱号</t>
  </si>
  <si>
    <t>T345</t>
  </si>
  <si>
    <t>T5789</t>
  </si>
  <si>
    <t>T9876</t>
  </si>
  <si>
    <t>T098</t>
  </si>
  <si>
    <t>T349</t>
  </si>
  <si>
    <t>T9875</t>
  </si>
  <si>
    <t>库存选取列表</t>
  </si>
  <si>
    <t>位置</t>
  </si>
  <si>
    <t>箱查找</t>
  </si>
  <si>
    <t>单位</t>
  </si>
  <si>
    <t>每个</t>
  </si>
  <si>
    <t>箱（10 盒）</t>
  </si>
  <si>
    <t>包（5 盒）</t>
  </si>
  <si>
    <t>数量</t>
  </si>
  <si>
    <t>续订数量</t>
  </si>
  <si>
    <t>成本</t>
  </si>
  <si>
    <t>库存价值</t>
  </si>
  <si>
    <t>续订</t>
  </si>
  <si>
    <t>订单编号</t>
  </si>
  <si>
    <t>TP001-1</t>
  </si>
  <si>
    <t>库存清单</t>
  </si>
  <si>
    <t>选取数量</t>
  </si>
  <si>
    <t>可用数量</t>
  </si>
  <si>
    <t>项目描述</t>
  </si>
  <si>
    <t>大箱</t>
  </si>
  <si>
    <t>小箱</t>
  </si>
  <si>
    <t>中箱</t>
  </si>
  <si>
    <t>第 2 行，第 1 格</t>
  </si>
  <si>
    <t>第 1 行，第 1 格</t>
  </si>
  <si>
    <t>第 3 行，第 2 格</t>
  </si>
  <si>
    <t>第 3 行，第 1 格</t>
  </si>
  <si>
    <t>第 1 行，第 2 格</t>
  </si>
  <si>
    <t>第 4 行，第 5 格</t>
  </si>
  <si>
    <t>第 2 行，第 2 格</t>
  </si>
  <si>
    <t>宽度</t>
  </si>
  <si>
    <t>高度</t>
  </si>
  <si>
    <t>长度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</si>
</sst>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7" formatCode="&quot;¥&quot;#,##0.00;&quot;¥&quot;\-#,##0.00"/>
    <numFmt numFmtId="176" formatCode="&quot;$&quot;#,##0.00_);\(&quot;$&quot;#,##0.00\)"/>
    <numFmt numFmtId="177" formatCode="&quot;Reorder&quot;;&quot;&quot;;&quot;&quot;"/>
    <numFmt numFmtId="178" formatCode="&quot;&quot;;&quot;&quot;;&quot;Clear Pick List Selected in B2&quot;"/>
    <numFmt numFmtId="179" formatCode="&quot;Pick List was cleared&quot;;&quot;&quot;;&quot;Pick List was not cleared&quot;"/>
    <numFmt numFmtId="180" formatCode="0_ "/>
    <numFmt numFmtId="181" formatCode="&quot;¥&quot;#,##0.00_);\(&quot;¥&quot;#,##0.00\)"/>
    <numFmt numFmtId="182" formatCode="&quot;续订&quot;;&quot;&quot;;&quot;&quot;"/>
  </numFmts>
  <fonts count="20" x14ac:knownFonts="1">
    <font>
      <sz val="11"/>
      <color theme="3" tint="0.14993743705557422"/>
      <name val="Franklin Gothic Medium"/>
      <family val="2"/>
      <scheme val="minor"/>
    </font>
    <font>
      <b/>
      <sz val="26"/>
      <color theme="3" tint="0.14996795556505021"/>
      <name val="Franklin Gothic Medium"/>
      <family val="2"/>
      <scheme val="major"/>
    </font>
    <font>
      <sz val="11"/>
      <color theme="3"/>
      <name val="Franklin Gothic Medium"/>
      <family val="2"/>
      <scheme val="major"/>
    </font>
    <font>
      <b/>
      <sz val="11"/>
      <color theme="1"/>
      <name val="Franklin Gothic Medium"/>
      <family val="2"/>
      <scheme val="minor"/>
    </font>
    <font>
      <sz val="11"/>
      <color theme="3"/>
      <name val="Franklin Gothic Medium"/>
      <family val="2"/>
      <scheme val="minor"/>
    </font>
    <font>
      <sz val="16"/>
      <color theme="4" tint="-0.499984740745262"/>
      <name val="Franklin Gothic Medium"/>
      <family val="2"/>
      <scheme val="major"/>
    </font>
    <font>
      <sz val="11"/>
      <color theme="3" tint="0.14993743705557422"/>
      <name val="Franklin Gothic Medium"/>
      <family val="2"/>
      <scheme val="minor"/>
    </font>
    <font>
      <sz val="11"/>
      <color theme="0"/>
      <name val="Franklin Gothic Medium"/>
      <family val="2"/>
      <scheme val="minor"/>
    </font>
    <font>
      <sz val="11"/>
      <color theme="0"/>
      <name val="Franklin Gothic Medium"/>
      <family val="2"/>
      <scheme val="major"/>
    </font>
    <font>
      <sz val="11"/>
      <color theme="4" tint="-0.499984740745262"/>
      <name val="Franklin Gothic Medium"/>
      <family val="2"/>
      <scheme val="minor"/>
    </font>
    <font>
      <sz val="11"/>
      <color theme="3" tint="0.14990691854609822"/>
      <name val="Franklin Gothic Medium"/>
      <family val="2"/>
      <scheme val="minor"/>
    </font>
    <font>
      <sz val="9"/>
      <name val="宋体"/>
      <family val="3"/>
      <charset val="134"/>
      <scheme val="minor"/>
    </font>
    <font>
      <b/>
      <sz val="26"/>
      <color theme="3" tint="0.14996795556505021"/>
      <name val="Microsoft YaHei UI"/>
      <family val="2"/>
      <charset val="134"/>
    </font>
    <font>
      <sz val="11"/>
      <color theme="3" tint="0.14993743705557422"/>
      <name val="Microsoft YaHei UI"/>
      <family val="2"/>
      <charset val="134"/>
    </font>
    <font>
      <sz val="11"/>
      <color theme="4" tint="-0.499984740745262"/>
      <name val="Microsoft YaHei UI"/>
      <family val="2"/>
      <charset val="134"/>
    </font>
    <font>
      <i/>
      <sz val="10"/>
      <color theme="1"/>
      <name val="Microsoft YaHei UI"/>
      <family val="2"/>
      <charset val="134"/>
    </font>
    <font>
      <sz val="11"/>
      <color theme="3"/>
      <name val="Microsoft YaHei UI"/>
      <family val="2"/>
      <charset val="134"/>
    </font>
    <font>
      <sz val="16"/>
      <color theme="4" tint="-0.499984740745262"/>
      <name val="Microsoft YaHei UI"/>
      <family val="2"/>
      <charset val="134"/>
    </font>
    <font>
      <sz val="11"/>
      <color theme="0"/>
      <name val="Microsoft YaHei UI"/>
      <family val="2"/>
      <charset val="134"/>
    </font>
    <font>
      <sz val="11"/>
      <color theme="3" tint="0.14999847407452621"/>
      <name val="Microsoft YaHei UI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-0.499984740745262"/>
      </bottom>
      <diagonal/>
    </border>
    <border>
      <left/>
      <right/>
      <top style="thin">
        <color theme="4" tint="-0.499984740745262"/>
      </top>
      <bottom style="double">
        <color theme="4" tint="-0.499984740745262"/>
      </bottom>
      <diagonal/>
    </border>
  </borders>
  <cellStyleXfs count="15">
    <xf numFmtId="0" fontId="0" fillId="0" borderId="0">
      <alignment vertical="center"/>
    </xf>
    <xf numFmtId="0" fontId="1" fillId="0" borderId="1" applyNumberFormat="0" applyFill="0" applyAlignment="0" applyProtection="0"/>
    <xf numFmtId="0" fontId="8" fillId="2" borderId="0" applyNumberFormat="0" applyProtection="0">
      <alignment horizontal="left" vertical="center" indent="1"/>
    </xf>
    <xf numFmtId="0" fontId="2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4" fillId="0" borderId="0" applyNumberFormat="0" applyFill="0" applyBorder="0" applyAlignment="0" applyProtection="0"/>
    <xf numFmtId="0" fontId="3" fillId="0" borderId="2" applyNumberFormat="0" applyFill="0" applyAlignment="0" applyProtection="0"/>
    <xf numFmtId="177" fontId="10" fillId="0" borderId="0">
      <alignment horizontal="center" vertical="center"/>
    </xf>
    <xf numFmtId="0" fontId="7" fillId="2" borderId="0" applyNumberFormat="0" applyProtection="0">
      <alignment horizontal="right" indent="1"/>
    </xf>
    <xf numFmtId="0" fontId="9" fillId="0" borderId="0" applyNumberFormat="0" applyProtection="0">
      <alignment horizontal="center"/>
    </xf>
    <xf numFmtId="0" fontId="9" fillId="0" borderId="0" applyNumberFormat="0" applyProtection="0">
      <alignment horizontal="center"/>
    </xf>
    <xf numFmtId="0" fontId="5" fillId="0" borderId="0" applyNumberFormat="0" applyFill="0" applyBorder="0" applyProtection="0">
      <alignment horizontal="left" vertical="top"/>
    </xf>
    <xf numFmtId="0" fontId="6" fillId="0" borderId="0">
      <alignment horizontal="left" vertical="center" wrapText="1" indent="1"/>
    </xf>
    <xf numFmtId="1" fontId="6" fillId="0" borderId="0">
      <alignment horizontal="center" vertical="center"/>
    </xf>
    <xf numFmtId="176" fontId="6" fillId="0" borderId="0">
      <alignment horizontal="right" vertical="center"/>
    </xf>
  </cellStyleXfs>
  <cellXfs count="20">
    <xf numFmtId="0" fontId="0" fillId="0" borderId="0" xfId="0">
      <alignment vertical="center"/>
    </xf>
    <xf numFmtId="0" fontId="12" fillId="0" borderId="1" xfId="1" applyFont="1"/>
    <xf numFmtId="0" fontId="12" fillId="0" borderId="1" xfId="1" applyFont="1" applyAlignment="1">
      <alignment vertical="center"/>
    </xf>
    <xf numFmtId="0" fontId="13" fillId="0" borderId="0" xfId="0" applyFont="1">
      <alignment vertical="center"/>
    </xf>
    <xf numFmtId="0" fontId="14" fillId="0" borderId="0" xfId="9" applyFont="1">
      <alignment horizontal="center"/>
    </xf>
    <xf numFmtId="0" fontId="15" fillId="0" borderId="0" xfId="0" applyFont="1" applyAlignment="1">
      <alignment vertical="center"/>
    </xf>
    <xf numFmtId="0" fontId="12" fillId="0" borderId="1" xfId="1" applyFont="1" applyAlignment="1"/>
    <xf numFmtId="178" fontId="13" fillId="0" borderId="0" xfId="0" applyNumberFormat="1" applyFont="1">
      <alignment vertical="center"/>
    </xf>
    <xf numFmtId="179" fontId="13" fillId="0" borderId="0" xfId="0" applyNumberFormat="1" applyFont="1">
      <alignment vertical="center"/>
    </xf>
    <xf numFmtId="0" fontId="16" fillId="0" borderId="0" xfId="3" applyFont="1"/>
    <xf numFmtId="0" fontId="16" fillId="0" borderId="0" xfId="3" applyFont="1" applyAlignment="1"/>
    <xf numFmtId="0" fontId="17" fillId="0" borderId="0" xfId="11" applyFont="1">
      <alignment horizontal="left" vertical="top"/>
    </xf>
    <xf numFmtId="7" fontId="17" fillId="0" borderId="0" xfId="11" applyNumberFormat="1" applyFont="1">
      <alignment horizontal="left" vertical="top"/>
    </xf>
    <xf numFmtId="0" fontId="13" fillId="0" borderId="0" xfId="0" applyFont="1" applyAlignment="1">
      <alignment horizontal="left" vertical="center" indent="1"/>
    </xf>
    <xf numFmtId="180" fontId="13" fillId="0" borderId="0" xfId="0" applyNumberFormat="1" applyFont="1" applyAlignment="1">
      <alignment horizontal="center" vertical="center"/>
    </xf>
    <xf numFmtId="181" fontId="13" fillId="0" borderId="0" xfId="0" applyNumberFormat="1" applyFont="1" applyAlignment="1">
      <alignment horizontal="right" vertical="center"/>
    </xf>
    <xf numFmtId="0" fontId="13" fillId="0" borderId="0" xfId="0" applyFont="1" applyAlignment="1">
      <alignment horizontal="center"/>
    </xf>
    <xf numFmtId="182" fontId="19" fillId="0" borderId="0" xfId="0" applyNumberFormat="1" applyFont="1" applyAlignment="1">
      <alignment horizontal="center" vertical="center"/>
    </xf>
    <xf numFmtId="0" fontId="18" fillId="2" borderId="0" xfId="0" applyFont="1" applyFill="1" applyAlignment="1">
      <alignment horizontal="left" vertical="center" indent="1"/>
    </xf>
    <xf numFmtId="0" fontId="13" fillId="0" borderId="0" xfId="0" applyFont="1" applyAlignment="1">
      <alignment horizontal="left" vertical="center" wrapText="1" indent="1"/>
    </xf>
  </cellXfs>
  <cellStyles count="15">
    <cellStyle name="标记列" xfId="7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表详细信息居中对齐" xfId="13"/>
    <cellStyle name="表详细信息右对齐" xfId="14"/>
    <cellStyle name="表详细信息左对齐" xfId="12"/>
    <cellStyle name="常规" xfId="0" builtinId="0" customBuiltin="1"/>
    <cellStyle name="超链接" xfId="9" builtinId="8" customBuiltin="1"/>
    <cellStyle name="汇总" xfId="6" builtinId="25" customBuiltin="1"/>
    <cellStyle name="链接单元格" xfId="8" builtinId="24" customBuiltin="1"/>
    <cellStyle name="已访问的超链接" xfId="10" builtinId="9" customBuiltin="1"/>
    <cellStyle name="总计" xfId="11"/>
  </cellStyles>
  <dxfs count="36"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180" formatCode="0_ 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180" formatCode="0_ 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180" formatCode="0_ 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180" formatCode="0_ 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180" formatCode="0_ 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Microsoft YaHei UI"/>
        <family val="2"/>
        <charset val="134"/>
        <scheme val="none"/>
      </font>
      <fill>
        <patternFill patternType="solid">
          <fgColor indexed="64"/>
          <bgColor theme="4" tint="-0.499984740745262"/>
        </patternFill>
      </fill>
      <alignment horizontal="left" vertical="center" textRotation="0" wrapText="0" indent="1" justifyLastLine="0" shrinkToFit="0" readingOrder="0"/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3" tint="0.14999847407452621"/>
        <name val="Microsoft YaHei UI"/>
        <family val="2"/>
        <charset val="134"/>
        <scheme val="none"/>
      </font>
      <numFmt numFmtId="182" formatCode="&quot;续订&quot;;&quot;&quot;;&quot;&quot;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181" formatCode="&quot;¥&quot;#,##0.00_);\(&quot;¥&quot;#,##0.00\)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181" formatCode="&quot;¥&quot;#,##0.00_);\(&quot;¥&quot;#,##0.00\)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180" formatCode="0_ 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180" formatCode="0_ 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Microsoft YaHei UI"/>
        <family val="2"/>
        <charset val="134"/>
        <scheme val="none"/>
      </font>
      <fill>
        <patternFill patternType="solid">
          <fgColor indexed="64"/>
          <bgColor theme="4" tint="-0.499984740745262"/>
        </patternFill>
      </fill>
    </dxf>
    <dxf>
      <font>
        <b/>
        <i val="0"/>
      </font>
    </dxf>
    <dxf>
      <fill>
        <patternFill>
          <bgColor theme="2" tint="-4.9989318521683403E-2"/>
        </patternFill>
      </fill>
    </dxf>
    <dxf>
      <fill>
        <patternFill>
          <bgColor theme="0"/>
        </patternFill>
      </fill>
    </dxf>
    <dxf>
      <font>
        <b val="0"/>
        <i val="0"/>
        <color theme="0"/>
      </font>
      <fill>
        <patternFill patternType="solid">
          <fgColor theme="4" tint="-0.499984740745262"/>
          <bgColor theme="4" tint="-0.499984740745262"/>
        </patternFill>
      </fill>
    </dxf>
    <dxf>
      <border>
        <vertical style="thick">
          <color theme="0"/>
        </vertical>
      </border>
    </dxf>
  </dxfs>
  <tableStyles count="1" defaultTableStyle="TableStyleMedium2" defaultPivotStyle="PivotStyleMedium2">
    <tableStyle name="仓库库存" pivot="0" count="4">
      <tableStyleElement type="wholeTable" dxfId="35"/>
      <tableStyleElement type="headerRow" dxfId="34"/>
      <tableStyleElement type="lastColumn" dxfId="33"/>
      <tableStyleElement type="secondRowStripe" dxfId="3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31665;&#26597;&#25214;!A1"/><Relationship Id="rId1" Type="http://schemas.openxmlformats.org/officeDocument/2006/relationships/hyperlink" Target="#&#24211;&#23384;&#36873;&#21462;&#21015;&#34920;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20179;&#24211;&#24211;&#23384;&#28165;&#21333;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20179;&#24211;&#24211;&#23384;&#28165;&#21333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3429</xdr:colOff>
      <xdr:row>1</xdr:row>
      <xdr:rowOff>57149</xdr:rowOff>
    </xdr:from>
    <xdr:to>
      <xdr:col>4</xdr:col>
      <xdr:colOff>1740789</xdr:colOff>
      <xdr:row>1</xdr:row>
      <xdr:rowOff>285749</xdr:rowOff>
    </xdr:to>
    <xdr:sp macro="" textlink="">
      <xdr:nvSpPr>
        <xdr:cNvPr id="11" name="库存清单" descr="浏览形状以查看“库存选取列表”">
          <a:hlinkClick xmlns:r="http://schemas.openxmlformats.org/officeDocument/2006/relationships" r:id="rId1" tooltip="选择以查看“库存选取列表”工作表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480304" y="742949"/>
          <a:ext cx="1737360" cy="228600"/>
        </a:xfrm>
        <a:prstGeom prst="homePlate">
          <a:avLst/>
        </a:prstGeom>
        <a:solidFill>
          <a:schemeClr val="accent1">
            <a:lumMod val="50000"/>
          </a:schemeClr>
        </a:solidFill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 rtl="0"/>
          <a:r>
            <a:rPr lang="zh-cn" sz="1100">
              <a:solidFill>
                <a:schemeClr val="lt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库存</a:t>
          </a:r>
          <a:r>
            <a:rPr lang="zh-cn" sz="1100" baseline="0">
              <a:solidFill>
                <a:schemeClr val="lt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选取</a:t>
          </a:r>
          <a:r>
            <a:rPr lang="zh-cn" sz="1100">
              <a:solidFill>
                <a:schemeClr val="lt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列表</a:t>
          </a:r>
        </a:p>
      </xdr:txBody>
    </xdr:sp>
    <xdr:clientData fPrintsWithSheet="0"/>
  </xdr:twoCellAnchor>
  <xdr:twoCellAnchor editAs="oneCell">
    <xdr:from>
      <xdr:col>5</xdr:col>
      <xdr:colOff>51054</xdr:colOff>
      <xdr:row>1</xdr:row>
      <xdr:rowOff>57149</xdr:rowOff>
    </xdr:from>
    <xdr:to>
      <xdr:col>5</xdr:col>
      <xdr:colOff>1788414</xdr:colOff>
      <xdr:row>1</xdr:row>
      <xdr:rowOff>285749</xdr:rowOff>
    </xdr:to>
    <xdr:sp macro="" textlink="">
      <xdr:nvSpPr>
        <xdr:cNvPr id="12" name="库存清单" descr="浏览形状以查看“箱查找”">
          <a:hlinkClick xmlns:r="http://schemas.openxmlformats.org/officeDocument/2006/relationships" r:id="rId2" tooltip="选择以添加或修改箱查找信息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337679" y="742949"/>
          <a:ext cx="1737360" cy="228600"/>
        </a:xfrm>
        <a:prstGeom prst="homePlate">
          <a:avLst/>
        </a:prstGeom>
        <a:solidFill>
          <a:schemeClr val="accent1">
            <a:lumMod val="50000"/>
          </a:schemeClr>
        </a:solidFill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 rtl="0"/>
          <a:r>
            <a:rPr lang="zh-cn" sz="1100">
              <a:solidFill>
                <a:schemeClr val="lt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箱</a:t>
          </a:r>
          <a:r>
            <a:rPr lang="zh-cn" sz="1100" baseline="0">
              <a:solidFill>
                <a:schemeClr val="lt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查找</a:t>
          </a:r>
          <a:endParaRPr lang="en-US" sz="1100">
            <a:solidFill>
              <a:schemeClr val="lt1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+mn-cs"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</xdr:colOff>
      <xdr:row>1</xdr:row>
      <xdr:rowOff>66675</xdr:rowOff>
    </xdr:from>
    <xdr:to>
      <xdr:col>2</xdr:col>
      <xdr:colOff>1813559</xdr:colOff>
      <xdr:row>1</xdr:row>
      <xdr:rowOff>295275</xdr:rowOff>
    </xdr:to>
    <xdr:sp macro="" textlink="">
      <xdr:nvSpPr>
        <xdr:cNvPr id="3" name="库存清单" descr="选择以查看库存清单">
          <a:hlinkClick xmlns:r="http://schemas.openxmlformats.org/officeDocument/2006/relationships" r:id="rId1" tooltip="单击以查看“仓库库存列表”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flipH="1">
          <a:off x="2019299" y="752475"/>
          <a:ext cx="1737360" cy="228600"/>
        </a:xfrm>
        <a:prstGeom prst="homePlate">
          <a:avLst/>
        </a:prstGeom>
        <a:solidFill>
          <a:schemeClr val="accent1">
            <a:lumMod val="50000"/>
          </a:schemeClr>
        </a:solidFill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 rtl="0"/>
          <a:r>
            <a:rPr lang="zh-cn" sz="1100">
              <a:solidFill>
                <a:schemeClr val="lt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库存清单</a:t>
          </a:r>
        </a:p>
      </xdr:txBody>
    </xdr:sp>
    <xdr:clientData fPrintsWithSheet="0"/>
  </xdr:twoCellAnchor>
  <xdr:twoCellAnchor editAs="oneCell">
    <xdr:from>
      <xdr:col>1</xdr:col>
      <xdr:colOff>28574</xdr:colOff>
      <xdr:row>1</xdr:row>
      <xdr:rowOff>76200</xdr:rowOff>
    </xdr:from>
    <xdr:to>
      <xdr:col>1</xdr:col>
      <xdr:colOff>1765934</xdr:colOff>
      <xdr:row>1</xdr:row>
      <xdr:rowOff>304800</xdr:rowOff>
    </xdr:to>
    <xdr:sp macro="[0]!ClearPickList" textlink="">
      <xdr:nvSpPr>
        <xdr:cNvPr id="5" name="库存清单" descr="选择以清除选取列表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flipH="1">
          <a:off x="190499" y="762000"/>
          <a:ext cx="1737360" cy="228600"/>
        </a:xfrm>
        <a:prstGeom prst="homePlate">
          <a:avLst/>
        </a:prstGeom>
        <a:solidFill>
          <a:schemeClr val="accent1">
            <a:lumMod val="50000"/>
          </a:schemeClr>
        </a:solidFill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 rtl="0"/>
          <a:r>
            <a:rPr lang="zh-cn" sz="1100">
              <a:solidFill>
                <a:schemeClr val="lt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清除选取</a:t>
          </a:r>
          <a:r>
            <a:rPr lang="zh-cn" sz="1100" baseline="0">
              <a:solidFill>
                <a:schemeClr val="lt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列表</a:t>
          </a:r>
          <a:r>
            <a:rPr lang="zh-cn" sz="1000" baseline="0">
              <a:solidFill>
                <a:schemeClr val="lt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 </a:t>
          </a:r>
          <a:endParaRPr lang="en-US" sz="1100">
            <a:solidFill>
              <a:schemeClr val="lt1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+mn-cs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1</xdr:row>
      <xdr:rowOff>66675</xdr:rowOff>
    </xdr:from>
    <xdr:to>
      <xdr:col>1</xdr:col>
      <xdr:colOff>1765935</xdr:colOff>
      <xdr:row>1</xdr:row>
      <xdr:rowOff>295275</xdr:rowOff>
    </xdr:to>
    <xdr:sp macro="" textlink="">
      <xdr:nvSpPr>
        <xdr:cNvPr id="2" name="库存清单" descr="选择以查看库存清单">
          <a:hlinkClick xmlns:r="http://schemas.openxmlformats.org/officeDocument/2006/relationships" r:id="rId1" tooltip="选择以查看库存清单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flipH="1">
          <a:off x="190500" y="752475"/>
          <a:ext cx="1737360" cy="228600"/>
        </a:xfrm>
        <a:prstGeom prst="homePlate">
          <a:avLst/>
        </a:prstGeom>
        <a:solidFill>
          <a:schemeClr val="accent1">
            <a:lumMod val="50000"/>
          </a:schemeClr>
        </a:solidFill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 rtl="0"/>
          <a:r>
            <a:rPr lang="zh-cn" sz="1100">
              <a:solidFill>
                <a:schemeClr val="lt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库存清单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3" name="库存清单" displayName="库存清单" ref="B4:K15" totalsRowShown="0" headerRowDxfId="30" dataDxfId="29">
  <autoFilter ref="B4:K15"/>
  <tableColumns count="10">
    <tableColumn id="1" name="SKU" dataDxfId="28"/>
    <tableColumn id="2" name="描述" dataDxfId="27"/>
    <tableColumn id="3" name="箱号" dataDxfId="26"/>
    <tableColumn id="4" name="位置" dataDxfId="25">
      <calculatedColumnFormula>IFERROR(VLOOKUP(库存清单[[#This Row],[箱号]],箱查找[],3,FALSE),"")</calculatedColumnFormula>
    </tableColumn>
    <tableColumn id="5" name="单位" dataDxfId="24"/>
    <tableColumn id="6" name="数量" dataDxfId="23"/>
    <tableColumn id="7" name="续订数量" dataDxfId="22"/>
    <tableColumn id="8" name="成本" dataDxfId="21"/>
    <tableColumn id="9" name="库存价值" dataDxfId="20">
      <calculatedColumnFormula>库存清单[[#This Row],[数量]]*库存清单[[#This Row],[成本]]</calculatedColumnFormula>
    </tableColumn>
    <tableColumn id="10" name="续订" dataDxfId="19">
      <calculatedColumnFormula>IFERROR(IF(库存清单[[#This Row],[数量]]&lt;=库存清单[[#This Row],[续订数量]],1,0),0)</calculatedColumnFormula>
    </tableColumn>
  </tableColumns>
  <tableStyleInfo name="仓库库存" showFirstColumn="0" showLastColumn="0" showRowStripes="1" showColumnStripes="0"/>
</table>
</file>

<file path=xl/tables/table2.xml><?xml version="1.0" encoding="utf-8"?>
<table xmlns="http://schemas.openxmlformats.org/spreadsheetml/2006/main" id="2" name="库存选取列表" displayName="库存选取列表" ref="B4:I9" totalsRowShown="0" headerRowDxfId="17" dataDxfId="16">
  <autoFilter ref="B4:I9"/>
  <sortState ref="B5:I9">
    <sortCondition ref="I4:I9"/>
  </sortState>
  <tableColumns count="8">
    <tableColumn id="1" name="订单编号" dataDxfId="15"/>
    <tableColumn id="2" name="SKU" dataDxfId="14"/>
    <tableColumn id="3" name="选取数量" dataDxfId="13"/>
    <tableColumn id="4" name="可用数量" dataDxfId="12">
      <calculatedColumnFormula>IFERROR(VLOOKUP(库存选取列表[SKU],库存清单[],6,FALSE),"")</calculatedColumnFormula>
    </tableColumn>
    <tableColumn id="5" name="项目描述" dataDxfId="11">
      <calculatedColumnFormula>IFERROR(VLOOKUP(库存选取列表[SKU],库存清单[],2,FALSE),"")</calculatedColumnFormula>
    </tableColumn>
    <tableColumn id="6" name="单位" dataDxfId="10">
      <calculatedColumnFormula>IFERROR(VLOOKUP(库存选取列表[SKU],库存清单[],5,FALSE),"")</calculatedColumnFormula>
    </tableColumn>
    <tableColumn id="7" name="箱号" dataDxfId="9">
      <calculatedColumnFormula>IFERROR(VLOOKUP(库存选取列表[SKU],库存清单[],3,FALSE),"")</calculatedColumnFormula>
    </tableColumn>
    <tableColumn id="8" name="位置" dataDxfId="8">
      <calculatedColumnFormula>IFERROR(VLOOKUP(库存选取列表[SKU],库存清单[],4,FALSE),"")</calculatedColumnFormula>
    </tableColumn>
  </tableColumns>
  <tableStyleInfo name="仓库库存" showFirstColumn="0" showLastColumn="0" showRowStripes="1" showColumnStripes="0"/>
</table>
</file>

<file path=xl/tables/table3.xml><?xml version="1.0" encoding="utf-8"?>
<table xmlns="http://schemas.openxmlformats.org/spreadsheetml/2006/main" id="5" name="箱查找" displayName="箱查找" ref="B4:G11" totalsRowShown="0" headerRowDxfId="7" dataDxfId="6">
  <autoFilter ref="B4:G11"/>
  <tableColumns count="6">
    <tableColumn id="1" name="箱号" dataDxfId="5"/>
    <tableColumn id="2" name="描述" dataDxfId="4"/>
    <tableColumn id="3" name="位置" dataDxfId="3"/>
    <tableColumn id="4" name="宽度" dataDxfId="2"/>
    <tableColumn id="5" name="高度" dataDxfId="1"/>
    <tableColumn id="6" name="长度" dataDxfId="0"/>
  </tableColumns>
  <tableStyleInfo name="仓库库存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Warehouse Inventory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6DB068"/>
      </a:accent1>
      <a:accent2>
        <a:srgbClr val="E1C049"/>
      </a:accent2>
      <a:accent3>
        <a:srgbClr val="77CACD"/>
      </a:accent3>
      <a:accent4>
        <a:srgbClr val="EB862D"/>
      </a:accent4>
      <a:accent5>
        <a:srgbClr val="9062A7"/>
      </a:accent5>
      <a:accent6>
        <a:srgbClr val="EB8688"/>
      </a:accent6>
      <a:hlink>
        <a:srgbClr val="13CACD"/>
      </a:hlink>
      <a:folHlink>
        <a:srgbClr val="9062A7"/>
      </a:folHlink>
    </a:clrScheme>
    <a:fontScheme name="Warehouse Inventory">
      <a:majorFont>
        <a:latin typeface="Franklin Gothic Medium"/>
        <a:ea typeface=""/>
        <a:cs typeface=""/>
      </a:majorFont>
      <a:minorFont>
        <a:latin typeface="Franklin Gothic Medium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InventoryList">
    <tabColor theme="4"/>
    <pageSetUpPr autoPageBreaks="0" fitToPage="1"/>
  </sheetPr>
  <dimension ref="B1:K15"/>
  <sheetViews>
    <sheetView showGridLines="0" tabSelected="1" zoomScaleNormal="100" workbookViewId="0">
      <selection activeCell="C6" sqref="C6"/>
    </sheetView>
  </sheetViews>
  <sheetFormatPr defaultRowHeight="30" customHeight="1" x14ac:dyDescent="0.3"/>
  <cols>
    <col min="1" max="1" width="1.88671875" style="3" customWidth="1"/>
    <col min="2" max="2" width="20.77734375" style="3" customWidth="1"/>
    <col min="3" max="3" width="27.44140625" style="3" customWidth="1"/>
    <col min="4" max="4" width="14.109375" style="3" customWidth="1"/>
    <col min="5" max="5" width="21.109375" style="3" customWidth="1"/>
    <col min="6" max="6" width="21.77734375" style="3" customWidth="1"/>
    <col min="7" max="7" width="9.44140625" style="3" customWidth="1"/>
    <col min="8" max="8" width="15.6640625" style="3" customWidth="1"/>
    <col min="9" max="9" width="11.88671875" style="3" customWidth="1"/>
    <col min="10" max="10" width="18.6640625" style="3" customWidth="1"/>
    <col min="11" max="11" width="13.33203125" style="3" customWidth="1"/>
    <col min="12" max="13" width="16.109375" style="3" customWidth="1"/>
    <col min="14" max="14" width="11.44140625" style="3" customWidth="1"/>
    <col min="15" max="16384" width="8.88671875" style="3"/>
  </cols>
  <sheetData>
    <row r="1" spans="2:11" ht="54" customHeight="1" thickBot="1" x14ac:dyDescent="0.65">
      <c r="B1" s="6" t="s">
        <v>0</v>
      </c>
      <c r="C1" s="6"/>
      <c r="D1" s="6"/>
      <c r="E1" s="2"/>
      <c r="F1" s="2"/>
      <c r="G1" s="2"/>
      <c r="H1" s="2"/>
      <c r="I1" s="2"/>
      <c r="J1" s="2"/>
      <c r="K1" s="2"/>
    </row>
    <row r="2" spans="2:11" ht="24.95" customHeight="1" x14ac:dyDescent="0.3">
      <c r="B2" s="9" t="s">
        <v>1</v>
      </c>
      <c r="C2" s="10" t="s">
        <v>14</v>
      </c>
      <c r="D2" s="9" t="s">
        <v>27</v>
      </c>
      <c r="E2" s="4" t="s">
        <v>35</v>
      </c>
      <c r="F2" s="4" t="s">
        <v>37</v>
      </c>
    </row>
    <row r="3" spans="2:11" ht="30" customHeight="1" x14ac:dyDescent="0.3">
      <c r="B3" s="12">
        <f>SUM(库存清单[库存价值])</f>
        <v>4649</v>
      </c>
      <c r="C3" s="11">
        <f>COUNTA(库存清单[描述])</f>
        <v>11</v>
      </c>
      <c r="D3" s="11">
        <f>SUMPRODUCT((1/COUNTIF(库存清单[箱号],库存清单[箱号]&amp;"")))</f>
        <v>6</v>
      </c>
    </row>
    <row r="4" spans="2:11" ht="17.100000000000001" customHeight="1" x14ac:dyDescent="0.3">
      <c r="B4" s="18" t="s">
        <v>2</v>
      </c>
      <c r="C4" s="18" t="s">
        <v>15</v>
      </c>
      <c r="D4" s="18" t="s">
        <v>28</v>
      </c>
      <c r="E4" s="18" t="s">
        <v>36</v>
      </c>
      <c r="F4" s="18" t="s">
        <v>38</v>
      </c>
      <c r="G4" s="18" t="s">
        <v>42</v>
      </c>
      <c r="H4" s="18" t="s">
        <v>43</v>
      </c>
      <c r="I4" s="18" t="s">
        <v>44</v>
      </c>
      <c r="J4" s="18" t="s">
        <v>45</v>
      </c>
      <c r="K4" s="18" t="s">
        <v>46</v>
      </c>
    </row>
    <row r="5" spans="2:11" ht="30" customHeight="1" x14ac:dyDescent="0.3">
      <c r="B5" s="13" t="s">
        <v>3</v>
      </c>
      <c r="C5" s="13" t="s">
        <v>16</v>
      </c>
      <c r="D5" s="13" t="s">
        <v>29</v>
      </c>
      <c r="E5" s="13" t="str">
        <f>IFERROR(VLOOKUP(库存清单[[#This Row],[箱号]],箱查找[],3,FALSE),"")</f>
        <v>第 2 行，第 1 格</v>
      </c>
      <c r="F5" s="13" t="s">
        <v>39</v>
      </c>
      <c r="G5" s="14">
        <v>20</v>
      </c>
      <c r="H5" s="14">
        <v>10</v>
      </c>
      <c r="I5" s="15">
        <v>30</v>
      </c>
      <c r="J5" s="15">
        <f>库存清单[[#This Row],[数量]]*库存清单[[#This Row],[成本]]</f>
        <v>600</v>
      </c>
      <c r="K5" s="17">
        <f>IFERROR(IF(库存清单[[#This Row],[数量]]&lt;=库存清单[[#This Row],[续订数量]],1,0),0)</f>
        <v>0</v>
      </c>
    </row>
    <row r="6" spans="2:11" ht="30" customHeight="1" x14ac:dyDescent="0.3">
      <c r="B6" s="13" t="s">
        <v>4</v>
      </c>
      <c r="C6" s="13" t="s">
        <v>17</v>
      </c>
      <c r="D6" s="13" t="s">
        <v>29</v>
      </c>
      <c r="E6" s="13" t="str">
        <f>IFERROR(VLOOKUP(库存清单[[#This Row],[箱号]],箱查找[],3,FALSE),"")</f>
        <v>第 2 行，第 1 格</v>
      </c>
      <c r="F6" s="13" t="s">
        <v>39</v>
      </c>
      <c r="G6" s="14">
        <v>30</v>
      </c>
      <c r="H6" s="14">
        <v>15</v>
      </c>
      <c r="I6" s="15">
        <v>40</v>
      </c>
      <c r="J6" s="15">
        <f>库存清单[[#This Row],[数量]]*库存清单[[#This Row],[成本]]</f>
        <v>1200</v>
      </c>
      <c r="K6" s="17">
        <f>IFERROR(IF(库存清单[[#This Row],[数量]]&lt;=库存清单[[#This Row],[续订数量]],1,0),0)</f>
        <v>0</v>
      </c>
    </row>
    <row r="7" spans="2:11" ht="30" customHeight="1" x14ac:dyDescent="0.3">
      <c r="B7" s="13" t="s">
        <v>5</v>
      </c>
      <c r="C7" s="13" t="s">
        <v>18</v>
      </c>
      <c r="D7" s="13" t="s">
        <v>30</v>
      </c>
      <c r="E7" s="13" t="str">
        <f>IFERROR(VLOOKUP(库存清单[[#This Row],[箱号]],箱查找[],3,FALSE),"")</f>
        <v>第 1 行，第 1 格</v>
      </c>
      <c r="F7" s="13" t="s">
        <v>39</v>
      </c>
      <c r="G7" s="14">
        <v>10</v>
      </c>
      <c r="H7" s="14">
        <v>5</v>
      </c>
      <c r="I7" s="15">
        <v>5</v>
      </c>
      <c r="J7" s="15">
        <f>库存清单[[#This Row],[数量]]*库存清单[[#This Row],[成本]]</f>
        <v>50</v>
      </c>
      <c r="K7" s="17">
        <f>IFERROR(IF(库存清单[[#This Row],[数量]]&lt;=库存清单[[#This Row],[续订数量]],1,0),0)</f>
        <v>0</v>
      </c>
    </row>
    <row r="8" spans="2:11" ht="30" customHeight="1" x14ac:dyDescent="0.3">
      <c r="B8" s="13" t="s">
        <v>6</v>
      </c>
      <c r="C8" s="13" t="s">
        <v>19</v>
      </c>
      <c r="D8" s="13" t="s">
        <v>31</v>
      </c>
      <c r="E8" s="13" t="str">
        <f>IFERROR(VLOOKUP(库存清单[[#This Row],[箱号]],箱查找[],3,FALSE),"")</f>
        <v>第 3 行，第 2 格</v>
      </c>
      <c r="F8" s="13" t="s">
        <v>40</v>
      </c>
      <c r="G8" s="14">
        <v>40</v>
      </c>
      <c r="H8" s="14">
        <v>10</v>
      </c>
      <c r="I8" s="15">
        <v>15</v>
      </c>
      <c r="J8" s="15">
        <f>库存清单[[#This Row],[数量]]*库存清单[[#This Row],[成本]]</f>
        <v>600</v>
      </c>
      <c r="K8" s="17">
        <f>IFERROR(IF(库存清单[[#This Row],[数量]]&lt;=库存清单[[#This Row],[续订数量]],1,0),0)</f>
        <v>0</v>
      </c>
    </row>
    <row r="9" spans="2:11" ht="30" customHeight="1" x14ac:dyDescent="0.3">
      <c r="B9" s="13" t="s">
        <v>7</v>
      </c>
      <c r="C9" s="13" t="s">
        <v>20</v>
      </c>
      <c r="D9" s="13" t="s">
        <v>32</v>
      </c>
      <c r="E9" s="13" t="str">
        <f>IFERROR(VLOOKUP(库存清单[[#This Row],[箱号]],箱查找[],3,FALSE),"")</f>
        <v>第 3 行，第 1 格</v>
      </c>
      <c r="F9" s="13" t="s">
        <v>39</v>
      </c>
      <c r="G9" s="14">
        <v>12</v>
      </c>
      <c r="H9" s="14">
        <v>10</v>
      </c>
      <c r="I9" s="15">
        <v>26</v>
      </c>
      <c r="J9" s="15">
        <f>库存清单[[#This Row],[数量]]*库存清单[[#This Row],[成本]]</f>
        <v>312</v>
      </c>
      <c r="K9" s="17">
        <f>IFERROR(IF(库存清单[[#This Row],[数量]]&lt;=库存清单[[#This Row],[续订数量]],1,0),0)</f>
        <v>0</v>
      </c>
    </row>
    <row r="10" spans="2:11" ht="30" customHeight="1" x14ac:dyDescent="0.3">
      <c r="B10" s="13" t="s">
        <v>8</v>
      </c>
      <c r="C10" s="13" t="s">
        <v>21</v>
      </c>
      <c r="D10" s="13" t="s">
        <v>29</v>
      </c>
      <c r="E10" s="13" t="str">
        <f>IFERROR(VLOOKUP(库存清单[[#This Row],[箱号]],箱查找[],3,FALSE),"")</f>
        <v>第 2 行，第 1 格</v>
      </c>
      <c r="F10" s="13" t="s">
        <v>39</v>
      </c>
      <c r="G10" s="14">
        <v>7</v>
      </c>
      <c r="H10" s="14">
        <v>10</v>
      </c>
      <c r="I10" s="15">
        <v>50</v>
      </c>
      <c r="J10" s="15">
        <f>库存清单[[#This Row],[数量]]*库存清单[[#This Row],[成本]]</f>
        <v>350</v>
      </c>
      <c r="K10" s="17">
        <f>IFERROR(IF(库存清单[[#This Row],[数量]]&lt;=库存清单[[#This Row],[续订数量]],1,0),0)</f>
        <v>1</v>
      </c>
    </row>
    <row r="11" spans="2:11" ht="30" customHeight="1" x14ac:dyDescent="0.3">
      <c r="B11" s="13" t="s">
        <v>9</v>
      </c>
      <c r="C11" s="13" t="s">
        <v>22</v>
      </c>
      <c r="D11" s="13" t="s">
        <v>33</v>
      </c>
      <c r="E11" s="13" t="str">
        <f>IFERROR(VLOOKUP(库存清单[[#This Row],[箱号]],箱查找[],3,FALSE),"")</f>
        <v>第 1 行，第 2 格</v>
      </c>
      <c r="F11" s="13" t="s">
        <v>39</v>
      </c>
      <c r="G11" s="14">
        <v>10</v>
      </c>
      <c r="H11" s="14">
        <v>5</v>
      </c>
      <c r="I11" s="15">
        <v>10</v>
      </c>
      <c r="J11" s="15">
        <f>库存清单[[#This Row],[数量]]*库存清单[[#This Row],[成本]]</f>
        <v>100</v>
      </c>
      <c r="K11" s="17">
        <f>IFERROR(IF(库存清单[[#This Row],[数量]]&lt;=库存清单[[#This Row],[续订数量]],1,0),0)</f>
        <v>0</v>
      </c>
    </row>
    <row r="12" spans="2:11" ht="30" customHeight="1" x14ac:dyDescent="0.3">
      <c r="B12" s="13" t="s">
        <v>10</v>
      </c>
      <c r="C12" s="13" t="s">
        <v>23</v>
      </c>
      <c r="D12" s="13" t="s">
        <v>30</v>
      </c>
      <c r="E12" s="13" t="str">
        <f>IFERROR(VLOOKUP(库存清单[[#This Row],[箱号]],箱查找[],3,FALSE),"")</f>
        <v>第 1 行，第 1 格</v>
      </c>
      <c r="F12" s="13" t="s">
        <v>39</v>
      </c>
      <c r="G12" s="14">
        <v>19</v>
      </c>
      <c r="H12" s="14">
        <v>10</v>
      </c>
      <c r="I12" s="15">
        <v>3</v>
      </c>
      <c r="J12" s="15">
        <f>库存清单[[#This Row],[数量]]*库存清单[[#This Row],[成本]]</f>
        <v>57</v>
      </c>
      <c r="K12" s="17">
        <f>IFERROR(IF(库存清单[[#This Row],[数量]]&lt;=库存清单[[#This Row],[续订数量]],1,0),0)</f>
        <v>0</v>
      </c>
    </row>
    <row r="13" spans="2:11" ht="30" customHeight="1" x14ac:dyDescent="0.3">
      <c r="B13" s="13" t="s">
        <v>11</v>
      </c>
      <c r="C13" s="13" t="s">
        <v>24</v>
      </c>
      <c r="D13" s="13" t="s">
        <v>34</v>
      </c>
      <c r="E13" s="13" t="str">
        <f>IFERROR(VLOOKUP(库存清单[[#This Row],[箱号]],箱查找[],3,FALSE),"")</f>
        <v>第 2 行，第 2 格</v>
      </c>
      <c r="F13" s="13" t="s">
        <v>41</v>
      </c>
      <c r="G13" s="14">
        <v>20</v>
      </c>
      <c r="H13" s="14">
        <v>30</v>
      </c>
      <c r="I13" s="15">
        <v>14</v>
      </c>
      <c r="J13" s="15">
        <f>库存清单[[#This Row],[数量]]*库存清单[[#This Row],[成本]]</f>
        <v>280</v>
      </c>
      <c r="K13" s="17">
        <f>IFERROR(IF(库存清单[[#This Row],[数量]]&lt;=库存清单[[#This Row],[续订数量]],1,0),0)</f>
        <v>1</v>
      </c>
    </row>
    <row r="14" spans="2:11" ht="30" customHeight="1" x14ac:dyDescent="0.3">
      <c r="B14" s="13" t="s">
        <v>12</v>
      </c>
      <c r="C14" s="13" t="s">
        <v>25</v>
      </c>
      <c r="D14" s="13" t="s">
        <v>33</v>
      </c>
      <c r="E14" s="13" t="str">
        <f>IFERROR(VLOOKUP(库存清单[[#This Row],[箱号]],箱查找[],3,FALSE),"")</f>
        <v>第 1 行，第 2 格</v>
      </c>
      <c r="F14" s="13" t="s">
        <v>39</v>
      </c>
      <c r="G14" s="14">
        <v>15</v>
      </c>
      <c r="H14" s="14">
        <v>8</v>
      </c>
      <c r="I14" s="15">
        <v>60</v>
      </c>
      <c r="J14" s="15">
        <f>库存清单[[#This Row],[数量]]*库存清单[[#This Row],[成本]]</f>
        <v>900</v>
      </c>
      <c r="K14" s="17">
        <f>IFERROR(IF(库存清单[[#This Row],[数量]]&lt;=库存清单[[#This Row],[续订数量]],1,0),0)</f>
        <v>0</v>
      </c>
    </row>
    <row r="15" spans="2:11" ht="30" customHeight="1" x14ac:dyDescent="0.3">
      <c r="B15" s="13" t="s">
        <v>13</v>
      </c>
      <c r="C15" s="13" t="s">
        <v>26</v>
      </c>
      <c r="D15" s="13" t="s">
        <v>33</v>
      </c>
      <c r="E15" s="13" t="str">
        <f>IFERROR(VLOOKUP(库存清单[[#This Row],[箱号]],箱查找[],3,FALSE),"")</f>
        <v>第 1 行，第 2 格</v>
      </c>
      <c r="F15" s="13" t="s">
        <v>39</v>
      </c>
      <c r="G15" s="14">
        <v>25</v>
      </c>
      <c r="H15" s="14">
        <v>15</v>
      </c>
      <c r="I15" s="15">
        <v>8</v>
      </c>
      <c r="J15" s="15">
        <f>库存清单[[#This Row],[数量]]*库存清单[[#This Row],[成本]]</f>
        <v>200</v>
      </c>
      <c r="K15" s="17">
        <f>IFERROR(IF(库存清单[[#This Row],[数量]]&lt;=库存清单[[#This Row],[续订数量]],1,0),0)</f>
        <v>0</v>
      </c>
    </row>
  </sheetData>
  <phoneticPr fontId="11" type="noConversion"/>
  <conditionalFormatting sqref="J5:J15">
    <cfRule type="dataBar" priority="2">
      <dataBar>
        <cfvo type="min"/>
        <cfvo type="max"/>
        <color theme="2" tint="-0.34998626667073579"/>
      </dataBar>
      <extLst>
        <ext xmlns:x14="http://schemas.microsoft.com/office/spreadsheetml/2009/9/main" uri="{B025F937-C7B1-47D3-B67F-A62EFF666E3E}">
          <x14:id>{7F144EC0-1D28-4EA6-B7F4-104A1E462DE6}</x14:id>
        </ext>
      </extLst>
    </cfRule>
  </conditionalFormatting>
  <conditionalFormatting sqref="B5:K15">
    <cfRule type="expression" dxfId="31" priority="3">
      <formula>"If(blnBinNo=""True"")"</formula>
    </cfRule>
  </conditionalFormatting>
  <dataValidations count="17">
    <dataValidation allowBlank="1" showInputMessage="1" showErrorMessage="1" prompt="用于跟踪库存的仓库库存清单。K 列中自动标记待续订项目。单元格 E2 和 F2 中有两个导航链接，分别指向“库存选取列表”和“箱查找”工作表" sqref="A1"/>
    <dataValidation allowBlank="1" showInputMessage="1" showErrorMessage="1" prompt="自动计算库存总值" sqref="B3"/>
    <dataValidation allowBlank="1" showInputMessage="1" showErrorMessage="1" prompt="自动计算箱数" sqref="D3"/>
    <dataValidation allowBlank="1" showInputMessage="1" showErrorMessage="1" prompt="基于项目说明自动计算库存项目数" sqref="C3"/>
    <dataValidation allowBlank="1" showInputMessage="1" showErrorMessage="1" prompt="在此列中输入 SKU" sqref="B4"/>
    <dataValidation allowBlank="1" showInputMessage="1" showErrorMessage="1" prompt="在此列中输入项目描述" sqref="C4"/>
    <dataValidation allowBlank="1" showInputMessage="1" showErrorMessage="1" prompt="从下拉列表中选择箱号。按 Alt+向下键打开下拉列表，然后按 Enter 选择其中一项" sqref="D4"/>
    <dataValidation allowBlank="1" showInputMessage="1" showErrorMessage="1" prompt="使用箱号和“箱查找”工作表中的信息，在此列中自动更新位置 " sqref="E4"/>
    <dataValidation allowBlank="1" showInputMessage="1" showErrorMessage="1" prompt="在此列中输入单位" sqref="F4"/>
    <dataValidation allowBlank="1" showInputMessage="1" showErrorMessage="1" prompt="在此列中输入每个项目的数量" sqref="G4"/>
    <dataValidation allowBlank="1" showInputMessage="1" showErrorMessage="1" prompt="在此列中输入续订数量" sqref="H4"/>
    <dataValidation allowBlank="1" showInputMessage="1" showErrorMessage="1" prompt="在此列中输入每个项目的成本" sqref="I4"/>
    <dataValidation allowBlank="1" showInputMessage="1" showErrorMessage="1" prompt="使用表中的“数量”和“成本”值，在此列中自动计算库存价值" sqref="J4"/>
    <dataValidation allowBlank="1" showInputMessage="1" showErrorMessage="1" prompt="此列中的旗标指示库存清单中待续订的项目" sqref="K4"/>
    <dataValidation type="list" errorStyle="warning" allowBlank="1" showInputMessage="1" showErrorMessage="1" error="此箱号不在列表中。选择“是”以保留该条目；选择“取消”以将其添加到“箱查找”工作表中的表，这将向此下拉列表中添加箱号；或选择“否”，然后按 Alt+向下键以从列表中进行选择" sqref="D5:D15">
      <formula1>BinNumber</formula1>
    </dataValidation>
    <dataValidation allowBlank="1" showInputMessage="1" showErrorMessage="1" prompt="指向“库存选取列表”工作表的导航链接" sqref="E2"/>
    <dataValidation allowBlank="1" showInputMessage="1" showErrorMessage="1" prompt="指向在“箱查找”工作表中修改或添加项目的导航链接" sqref="F2"/>
  </dataValidations>
  <hyperlinks>
    <hyperlink ref="E2" location="'Inventory Pick List'!A1" tooltip="选择以查看“库存选取列表”工作表" display="库存选取列表"/>
    <hyperlink ref="F2" location="'Bin Lookup'!A1" tooltip="选择以添加或修改箱查找信息" display="箱查找"/>
  </hyperlinks>
  <printOptions horizontalCentered="1"/>
  <pageMargins left="0.25" right="0.25" top="0.75" bottom="0.75" header="0.3" footer="0.3"/>
  <pageSetup paperSize="9" fitToHeight="0" orientation="landscape" r:id="rId1"/>
  <headerFooter differentFirst="1">
    <oddFooter>Page &amp;P of &amp;N</oddFooter>
  </headerFooter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144EC0-1D28-4EA6-B7F4-104A1E462DE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J5:J15</xm:sqref>
        </x14:conditionalFormatting>
        <x14:conditionalFormatting xmlns:xm="http://schemas.microsoft.com/office/excel/2006/main">
          <x14:cfRule type="iconSet" priority="1" id="{130EFA56-0324-447C-B290-25BEB768F642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Flags" iconId="0"/>
            </x14:iconSet>
          </x14:cfRule>
          <xm:sqref>K5:K15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ickList">
    <tabColor theme="4" tint="0.39997558519241921"/>
    <pageSetUpPr autoPageBreaks="0" fitToPage="1"/>
  </sheetPr>
  <dimension ref="B1:I9"/>
  <sheetViews>
    <sheetView showGridLines="0" zoomScaleNormal="100" workbookViewId="0"/>
  </sheetViews>
  <sheetFormatPr defaultRowHeight="30" customHeight="1" x14ac:dyDescent="0.3"/>
  <cols>
    <col min="1" max="1" width="1.88671875" style="3" customWidth="1"/>
    <col min="2" max="2" width="20.77734375" style="3" customWidth="1"/>
    <col min="3" max="3" width="21.77734375" style="3" customWidth="1"/>
    <col min="4" max="4" width="15.6640625" style="3" customWidth="1"/>
    <col min="5" max="5" width="17.88671875" style="3" customWidth="1"/>
    <col min="6" max="6" width="25.44140625" style="3" customWidth="1"/>
    <col min="7" max="7" width="14.44140625" style="3" customWidth="1"/>
    <col min="8" max="8" width="13.44140625" style="3" customWidth="1"/>
    <col min="9" max="9" width="22.6640625" style="3" customWidth="1"/>
    <col min="10" max="16384" width="8.88671875" style="3"/>
  </cols>
  <sheetData>
    <row r="1" spans="2:9" ht="54" customHeight="1" thickBot="1" x14ac:dyDescent="0.65">
      <c r="B1" s="6" t="s">
        <v>35</v>
      </c>
      <c r="C1" s="1"/>
      <c r="D1" s="2"/>
      <c r="E1" s="2"/>
      <c r="F1" s="2"/>
      <c r="G1" s="2"/>
      <c r="H1" s="2"/>
      <c r="I1" s="2"/>
    </row>
    <row r="2" spans="2:9" ht="24.95" customHeight="1" x14ac:dyDescent="0.3">
      <c r="B2" s="4"/>
      <c r="C2" s="4" t="s">
        <v>49</v>
      </c>
    </row>
    <row r="3" spans="2:9" ht="30" customHeight="1" x14ac:dyDescent="0.3">
      <c r="B3" s="7"/>
      <c r="C3" s="8"/>
    </row>
    <row r="4" spans="2:9" ht="17.100000000000001" customHeight="1" x14ac:dyDescent="0.3">
      <c r="B4" s="18" t="s">
        <v>47</v>
      </c>
      <c r="C4" s="18" t="s">
        <v>2</v>
      </c>
      <c r="D4" s="18" t="s">
        <v>50</v>
      </c>
      <c r="E4" s="18" t="s">
        <v>51</v>
      </c>
      <c r="F4" s="18" t="s">
        <v>52</v>
      </c>
      <c r="G4" s="18" t="s">
        <v>38</v>
      </c>
      <c r="H4" s="18" t="s">
        <v>28</v>
      </c>
      <c r="I4" s="18" t="s">
        <v>36</v>
      </c>
    </row>
    <row r="5" spans="2:9" ht="30" customHeight="1" x14ac:dyDescent="0.3">
      <c r="B5" s="13" t="s">
        <v>48</v>
      </c>
      <c r="C5" s="13" t="s">
        <v>3</v>
      </c>
      <c r="D5" s="14">
        <v>3</v>
      </c>
      <c r="E5" s="14">
        <f>IFERROR(VLOOKUP(库存选取列表[SKU],库存清单[],6,FALSE),"")</f>
        <v>20</v>
      </c>
      <c r="F5" s="13" t="str">
        <f>IFERROR(VLOOKUP(库存选取列表[SKU],库存清单[],2,FALSE),"")</f>
        <v>项目 1</v>
      </c>
      <c r="G5" s="13" t="str">
        <f>IFERROR(VLOOKUP(库存选取列表[SKU],库存清单[],5,FALSE),"")</f>
        <v>每个</v>
      </c>
      <c r="H5" s="13" t="str">
        <f>IFERROR(VLOOKUP(库存选取列表[SKU],库存清单[],3,FALSE),"")</f>
        <v>T345</v>
      </c>
      <c r="I5" s="13" t="str">
        <f>IFERROR(VLOOKUP(库存选取列表[SKU],库存清单[],4,FALSE),"")</f>
        <v>第 2 行，第 1 格</v>
      </c>
    </row>
    <row r="6" spans="2:9" ht="30" customHeight="1" x14ac:dyDescent="0.3">
      <c r="B6" s="13" t="s">
        <v>48</v>
      </c>
      <c r="C6" s="13" t="s">
        <v>6</v>
      </c>
      <c r="D6" s="14">
        <v>1</v>
      </c>
      <c r="E6" s="14">
        <f>IFERROR(VLOOKUP(库存选取列表[SKU],库存清单[],6,FALSE),"")</f>
        <v>40</v>
      </c>
      <c r="F6" s="13" t="str">
        <f>IFERROR(VLOOKUP(库存选取列表[SKU],库存清单[],2,FALSE),"")</f>
        <v>项目 4</v>
      </c>
      <c r="G6" s="13" t="str">
        <f>IFERROR(VLOOKUP(库存选取列表[SKU],库存清单[],5,FALSE),"")</f>
        <v>箱（10 盒）</v>
      </c>
      <c r="H6" s="13" t="str">
        <f>IFERROR(VLOOKUP(库存选取列表[SKU],库存清单[],3,FALSE),"")</f>
        <v>T9876</v>
      </c>
      <c r="I6" s="13" t="str">
        <f>IFERROR(VLOOKUP(库存选取列表[SKU],库存清单[],4,FALSE),"")</f>
        <v>第 3 行，第 2 格</v>
      </c>
    </row>
    <row r="7" spans="2:9" ht="30" customHeight="1" x14ac:dyDescent="0.3">
      <c r="B7" s="13" t="s">
        <v>48</v>
      </c>
      <c r="C7" s="13" t="s">
        <v>9</v>
      </c>
      <c r="D7" s="14">
        <v>2</v>
      </c>
      <c r="E7" s="14">
        <f>IFERROR(VLOOKUP(库存选取列表[SKU],库存清单[],6,FALSE),"")</f>
        <v>10</v>
      </c>
      <c r="F7" s="13" t="str">
        <f>IFERROR(VLOOKUP(库存选取列表[SKU],库存清单[],2,FALSE),"")</f>
        <v>项目 7</v>
      </c>
      <c r="G7" s="13" t="str">
        <f>IFERROR(VLOOKUP(库存选取列表[SKU],库存清单[],5,FALSE),"")</f>
        <v>每个</v>
      </c>
      <c r="H7" s="13" t="str">
        <f>IFERROR(VLOOKUP(库存选取列表[SKU],库存清单[],3,FALSE),"")</f>
        <v>T349</v>
      </c>
      <c r="I7" s="13" t="str">
        <f>IFERROR(VLOOKUP(库存选取列表[SKU],库存清单[],4,FALSE),"")</f>
        <v>第 1 行，第 2 格</v>
      </c>
    </row>
    <row r="8" spans="2:9" ht="30" customHeight="1" x14ac:dyDescent="0.3">
      <c r="B8" s="13" t="s">
        <v>48</v>
      </c>
      <c r="C8" s="13" t="s">
        <v>12</v>
      </c>
      <c r="D8" s="14">
        <v>6</v>
      </c>
      <c r="E8" s="14">
        <f>IFERROR(VLOOKUP(库存选取列表[SKU],库存清单[],6,FALSE),"")</f>
        <v>15</v>
      </c>
      <c r="F8" s="13" t="str">
        <f>IFERROR(VLOOKUP(库存选取列表[SKU],库存清单[],2,FALSE),"")</f>
        <v>项目 10</v>
      </c>
      <c r="G8" s="13" t="str">
        <f>IFERROR(VLOOKUP(库存选取列表[SKU],库存清单[],5,FALSE),"")</f>
        <v>每个</v>
      </c>
      <c r="H8" s="13" t="str">
        <f>IFERROR(VLOOKUP(库存选取列表[SKU],库存清单[],3,FALSE),"")</f>
        <v>T349</v>
      </c>
      <c r="I8" s="13" t="str">
        <f>IFERROR(VLOOKUP(库存选取列表[SKU],库存清单[],4,FALSE),"")</f>
        <v>第 1 行，第 2 格</v>
      </c>
    </row>
    <row r="9" spans="2:9" ht="30" customHeight="1" x14ac:dyDescent="0.3">
      <c r="B9" s="13" t="s">
        <v>48</v>
      </c>
      <c r="C9" s="13" t="s">
        <v>5</v>
      </c>
      <c r="D9" s="14">
        <v>3</v>
      </c>
      <c r="E9" s="14">
        <f>IFERROR(VLOOKUP(库存选取列表[SKU],库存清单[],6,FALSE),"")</f>
        <v>10</v>
      </c>
      <c r="F9" s="13" t="str">
        <f>IFERROR(VLOOKUP(库存选取列表[SKU],库存清单[],2,FALSE),"")</f>
        <v>项目​​ 3</v>
      </c>
      <c r="G9" s="13" t="str">
        <f>IFERROR(VLOOKUP(库存选取列表[SKU],库存清单[],5,FALSE),"")</f>
        <v>每个</v>
      </c>
      <c r="H9" s="13" t="str">
        <f>IFERROR(VLOOKUP(库存选取列表[SKU],库存清单[],3,FALSE),"")</f>
        <v>T5789</v>
      </c>
      <c r="I9" s="13" t="str">
        <f>IFERROR(VLOOKUP(库存选取列表[SKU],库存清单[],4,FALSE),"")</f>
        <v>第 1 行，第 1 格</v>
      </c>
    </row>
  </sheetData>
  <phoneticPr fontId="11" type="noConversion"/>
  <conditionalFormatting sqref="E5:E9">
    <cfRule type="expression" dxfId="18" priority="1">
      <formula>D5&gt;E5</formula>
    </cfRule>
  </conditionalFormatting>
  <dataValidations count="17">
    <dataValidation type="list" errorStyle="warning" allowBlank="1" showErrorMessage="1" errorTitle="糟糕！" error="库存清单中不含此条目。可单击“是”以将其保留，但不会自动填充其他库存信息。 " sqref="C5:C9">
      <formula1>SKULookup</formula1>
    </dataValidation>
    <dataValidation allowBlank="1" showInputMessage="1" showErrorMessage="1" prompt="使用库存选取列表跟踪履行订单所需每个 SKU 的数量。若要清除选取列表，请按照单元格 B2 中的说明进行操作。若要导航到“仓库库存清单”工作表，请在单元格 C2 中使用导航链接" sqref="A1"/>
    <dataValidation allowBlank="1" showInputMessage="1" showErrorMessage="1" prompt="在本列中输入订单编号" sqref="B4"/>
    <dataValidation allowBlank="1" showInputMessage="1" showErrorMessage="1" prompt="从下拉列表中选择 SKU。按 Alt+向下键打开下拉列表，然后按 Enter 选择其中一项" sqref="C4"/>
    <dataValidation allowBlank="1" showInputMessage="1" showErrorMessage="1" prompt="在本列中输入项目的选取数量" sqref="D4"/>
    <dataValidation allowBlank="1" showInputMessage="1" showErrorMessage="1" prompt="在此列中自动计算每个项目的可用数量" sqref="E4"/>
    <dataValidation allowBlank="1" showInputMessage="1" showErrorMessage="1" prompt="在本列中自动更新项目描述" sqref="F4"/>
    <dataValidation allowBlank="1" showInputMessage="1" showErrorMessage="1" prompt="在本列中自动更新单位" sqref="G4"/>
    <dataValidation allowBlank="1" showInputMessage="1" showErrorMessage="1" prompt="在本列中自动更新箱号" sqref="H4"/>
    <dataValidation allowBlank="1" showInputMessage="1" showErrorMessage="1" prompt="在本列中自动更新位置" sqref="I4"/>
    <dataValidation type="custom" allowBlank="1" showInputMessage="1" showErrorMessage="1" errorTitle="糟糕！" error="输入的数量超过可用数量。 " sqref="D9">
      <formula1>D6&lt;=E6</formula1>
    </dataValidation>
    <dataValidation type="custom" allowBlank="1" showInputMessage="1" showErrorMessage="1" error="输入的数量超过可用数量。输入小于可用数量的选取数量" sqref="D5">
      <formula1>D5&lt;=E5</formula1>
    </dataValidation>
    <dataValidation allowBlank="1" showInputMessage="1" showErrorMessage="1" prompt="若要清除此工作表中的选取列表，请激活 B2 中的对象，或按 Alt+F8 并键入“ClearPickList”（不含空格），然后选择“运行”" sqref="B2"/>
    <dataValidation allowBlank="1" showInputMessage="1" showErrorMessage="1" prompt="指向“仓库库存清单”工作表的导航链接" sqref="C2"/>
    <dataValidation type="custom" allowBlank="1" showInputMessage="1" showErrorMessage="1" errorTitle="糟糕！" error="输入的数量超过可用数量。 " sqref="D6">
      <formula1>D6&lt;=E6</formula1>
    </dataValidation>
    <dataValidation type="custom" allowBlank="1" showInputMessage="1" showErrorMessage="1" errorTitle="糟糕！" error="输入的数量超过可用数量。 " sqref="D7">
      <formula1>D6&lt;=E6</formula1>
    </dataValidation>
    <dataValidation type="custom" allowBlank="1" showInputMessage="1" showErrorMessage="1" errorTitle="糟糕！" error="输入的数量超过可用数量。 " sqref="D8">
      <formula1>D6&lt;=E6</formula1>
    </dataValidation>
  </dataValidations>
  <hyperlinks>
    <hyperlink ref="C2" location="'Inventory List'!A1" tooltip="选择以查看库存清单" display="库存清单"/>
  </hyperlinks>
  <printOptions horizontalCentered="1"/>
  <pageMargins left="0.25" right="0.25" top="0.75" bottom="0.75" header="0.3" footer="0.3"/>
  <pageSetup paperSize="9" fitToHeight="0" orientation="landscape" r:id="rId1"/>
  <headerFooter differentFirst="1">
    <oddFooter>Page &amp;P of &amp;N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inLookup">
    <tabColor theme="4" tint="-0.499984740745262"/>
    <pageSetUpPr autoPageBreaks="0" fitToPage="1"/>
  </sheetPr>
  <dimension ref="B1:G11"/>
  <sheetViews>
    <sheetView showGridLines="0" zoomScaleNormal="100" workbookViewId="0"/>
  </sheetViews>
  <sheetFormatPr defaultRowHeight="30" customHeight="1" x14ac:dyDescent="0.3"/>
  <cols>
    <col min="1" max="1" width="1.88671875" style="3" customWidth="1"/>
    <col min="2" max="2" width="20.77734375" style="3" customWidth="1"/>
    <col min="3" max="3" width="19.44140625" style="3" customWidth="1"/>
    <col min="4" max="4" width="18.44140625" style="3" customWidth="1"/>
    <col min="5" max="7" width="11.88671875" style="3" customWidth="1"/>
    <col min="8" max="16384" width="8.88671875" style="3"/>
  </cols>
  <sheetData>
    <row r="1" spans="2:7" ht="54" customHeight="1" thickBot="1" x14ac:dyDescent="0.65">
      <c r="B1" s="1" t="s">
        <v>37</v>
      </c>
      <c r="C1" s="2"/>
      <c r="D1" s="2"/>
      <c r="E1" s="2"/>
      <c r="F1" s="2"/>
      <c r="G1" s="2"/>
    </row>
    <row r="2" spans="2:7" ht="24.95" customHeight="1" x14ac:dyDescent="0.3">
      <c r="B2" s="4" t="s">
        <v>49</v>
      </c>
    </row>
    <row r="3" spans="2:7" ht="30" customHeight="1" x14ac:dyDescent="0.3">
      <c r="B3" s="5"/>
      <c r="C3" s="5"/>
      <c r="D3" s="5"/>
      <c r="E3" s="5"/>
      <c r="F3" s="5"/>
      <c r="G3" s="5"/>
    </row>
    <row r="4" spans="2:7" ht="17.100000000000001" customHeight="1" x14ac:dyDescent="0.3">
      <c r="B4" s="13" t="s">
        <v>28</v>
      </c>
      <c r="C4" s="13" t="s">
        <v>15</v>
      </c>
      <c r="D4" s="13" t="s">
        <v>36</v>
      </c>
      <c r="E4" s="16" t="s">
        <v>63</v>
      </c>
      <c r="F4" s="16" t="s">
        <v>64</v>
      </c>
      <c r="G4" s="16" t="s">
        <v>65</v>
      </c>
    </row>
    <row r="5" spans="2:7" ht="30" customHeight="1" x14ac:dyDescent="0.3">
      <c r="B5" s="19" t="s">
        <v>29</v>
      </c>
      <c r="C5" s="19" t="s">
        <v>53</v>
      </c>
      <c r="D5" s="19" t="s">
        <v>56</v>
      </c>
      <c r="E5" s="14">
        <v>50</v>
      </c>
      <c r="F5" s="14">
        <v>10</v>
      </c>
      <c r="G5" s="14">
        <v>10</v>
      </c>
    </row>
    <row r="6" spans="2:7" ht="30" customHeight="1" x14ac:dyDescent="0.3">
      <c r="B6" s="19" t="s">
        <v>30</v>
      </c>
      <c r="C6" s="19" t="s">
        <v>54</v>
      </c>
      <c r="D6" s="19" t="s">
        <v>57</v>
      </c>
      <c r="E6" s="14">
        <v>25</v>
      </c>
      <c r="F6" s="14">
        <v>5</v>
      </c>
      <c r="G6" s="14">
        <v>5</v>
      </c>
    </row>
    <row r="7" spans="2:7" ht="30" customHeight="1" x14ac:dyDescent="0.3">
      <c r="B7" s="19" t="s">
        <v>31</v>
      </c>
      <c r="C7" s="19" t="s">
        <v>53</v>
      </c>
      <c r="D7" s="19" t="s">
        <v>58</v>
      </c>
      <c r="E7" s="14">
        <v>50</v>
      </c>
      <c r="F7" s="14">
        <v>10</v>
      </c>
      <c r="G7" s="14">
        <v>10</v>
      </c>
    </row>
    <row r="8" spans="2:7" ht="30" customHeight="1" x14ac:dyDescent="0.3">
      <c r="B8" s="19" t="s">
        <v>32</v>
      </c>
      <c r="C8" s="19" t="s">
        <v>55</v>
      </c>
      <c r="D8" s="19" t="s">
        <v>59</v>
      </c>
      <c r="E8" s="14">
        <v>30</v>
      </c>
      <c r="F8" s="14">
        <v>7</v>
      </c>
      <c r="G8" s="14">
        <v>10</v>
      </c>
    </row>
    <row r="9" spans="2:7" ht="30" customHeight="1" x14ac:dyDescent="0.3">
      <c r="B9" s="19" t="s">
        <v>33</v>
      </c>
      <c r="C9" s="19" t="s">
        <v>54</v>
      </c>
      <c r="D9" s="19" t="s">
        <v>60</v>
      </c>
      <c r="E9" s="14">
        <v>25</v>
      </c>
      <c r="F9" s="14">
        <v>5</v>
      </c>
      <c r="G9" s="14">
        <v>5</v>
      </c>
    </row>
    <row r="10" spans="2:7" ht="30" customHeight="1" x14ac:dyDescent="0.3">
      <c r="B10" s="19" t="s">
        <v>30</v>
      </c>
      <c r="C10" s="19" t="s">
        <v>53</v>
      </c>
      <c r="D10" s="19" t="s">
        <v>61</v>
      </c>
      <c r="E10" s="14">
        <v>50</v>
      </c>
      <c r="F10" s="14">
        <v>10</v>
      </c>
      <c r="G10" s="14">
        <v>10</v>
      </c>
    </row>
    <row r="11" spans="2:7" ht="30" customHeight="1" x14ac:dyDescent="0.3">
      <c r="B11" s="19" t="s">
        <v>34</v>
      </c>
      <c r="C11" s="19" t="s">
        <v>53</v>
      </c>
      <c r="D11" s="19" t="s">
        <v>62</v>
      </c>
      <c r="E11" s="14">
        <v>50</v>
      </c>
      <c r="F11" s="14">
        <v>10</v>
      </c>
      <c r="G11" s="14">
        <v>10</v>
      </c>
    </row>
  </sheetData>
  <phoneticPr fontId="11" type="noConversion"/>
  <dataValidations count="8">
    <dataValidation allowBlank="1" showInputMessage="1" showErrorMessage="1" prompt="此工作表中包含一张表，用于提供“仓库库存列表”和“库存选取列表”工作表中的数据。指向“仓库库存列表”工作表的导航链接位于单元格 B2 中" sqref="A1"/>
    <dataValidation allowBlank="1" showInputMessage="1" showErrorMessage="1" prompt="在本列中输入箱号" sqref="B4"/>
    <dataValidation allowBlank="1" showInputMessage="1" showErrorMessage="1" prompt="在此列中输入箱描述" sqref="C4"/>
    <dataValidation allowBlank="1" showInputMessage="1" showErrorMessage="1" prompt="在此列中输入箱位置" sqref="D4"/>
    <dataValidation allowBlank="1" showInputMessage="1" showErrorMessage="1" prompt="在此列中输入箱宽" sqref="E4"/>
    <dataValidation allowBlank="1" showInputMessage="1" showErrorMessage="1" prompt="在此列中输入箱高" sqref="F4"/>
    <dataValidation allowBlank="1" showInputMessage="1" showErrorMessage="1" prompt="在此列中输入箱长" sqref="G4"/>
    <dataValidation allowBlank="1" showInputMessage="1" showErrorMessage="1" prompt="指向“仓库库存清单”工作表的导航链接" sqref="B2"/>
  </dataValidations>
  <hyperlinks>
    <hyperlink ref="B2" location="'Inventory List'!A1" tooltip="选择以查看库存清单" display="库存清单"/>
  </hyperlinks>
  <printOptions horizontalCentered="1"/>
  <pageMargins left="0.25" right="0.25" top="0.75" bottom="0.75" header="0.3" footer="0.3"/>
  <pageSetup paperSize="9" fitToHeight="0" orientation="landscape" r:id="rId1"/>
  <headerFooter differentFirst="1">
    <oddFooter>Page &amp;P of &amp;N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8</vt:i4>
      </vt:variant>
    </vt:vector>
  </HeadingPairs>
  <TitlesOfParts>
    <vt:vector size="11" baseType="lpstr">
      <vt:lpstr>仓库库存清单</vt:lpstr>
      <vt:lpstr>库存选取列表</vt:lpstr>
      <vt:lpstr>箱查找</vt:lpstr>
      <vt:lpstr>BinNumber</vt:lpstr>
      <vt:lpstr>ColumnTitle1</vt:lpstr>
      <vt:lpstr>ColumnTitle2</vt:lpstr>
      <vt:lpstr>ColumnTitle3</vt:lpstr>
      <vt:lpstr>仓库库存清单!Print_Titles</vt:lpstr>
      <vt:lpstr>库存选取列表!Print_Titles</vt:lpstr>
      <vt:lpstr>箱查找!Print_Titles</vt:lpstr>
      <vt:lpstr>SKULookup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</dc:creator>
  <cp:lastModifiedBy>king</cp:lastModifiedBy>
  <dcterms:created xsi:type="dcterms:W3CDTF">2016-10-06T00:09:35Z</dcterms:created>
  <dcterms:modified xsi:type="dcterms:W3CDTF">2017-09-28T14:01:30Z</dcterms:modified>
</cp:coreProperties>
</file>