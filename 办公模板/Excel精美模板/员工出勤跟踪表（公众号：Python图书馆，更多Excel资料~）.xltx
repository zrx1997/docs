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21600" windowHeight="9510"/>
  </bookViews>
  <sheets>
    <sheet name="日历视图" sheetId="3" r:id="rId1"/>
    <sheet name="员工休假跟踪表" sheetId="1" r:id="rId2"/>
    <sheet name="员工名单" sheetId="2" r:id="rId3"/>
    <sheet name="休假类型" sheetId="4" r:id="rId4"/>
    <sheet name="公司假期" sheetId="5" r:id="rId5"/>
  </sheets>
  <externalReferences>
    <externalReference r:id="rId6"/>
  </externalReferences>
  <definedNames>
    <definedName name="_xlnm._FilterDatabase" localSheetId="0" hidden="1">'[1]Calendar View'!$H$19:$K$22</definedName>
    <definedName name="Calendar_Year">日历视图!$C$3</definedName>
    <definedName name="ColumnTitle3">员工[[#Headers],[员工姓名]]</definedName>
    <definedName name="ColumnTitle4">休假类型[[#Headers],[休假类型列表]]</definedName>
    <definedName name="ColumnTitle5">公司假期[[#Headers],[公司假期]]</definedName>
    <definedName name="ColumnTitleRegion..AC22.1">日历视图!$C$19:$E$19</definedName>
    <definedName name="lstEDates">LeaveTracker[结束日期]</definedName>
    <definedName name="lstEmployees">员工[员工姓名]</definedName>
    <definedName name="lstEmpNames">LeaveTracker[员工姓名]</definedName>
    <definedName name="lstHolidays">公司假期[公司假期]</definedName>
    <definedName name="lstHolidayTypes">休假类型[休假类型列表]</definedName>
    <definedName name="lstHTypes">LeaveTracker[休假类型]</definedName>
    <definedName name="lstSdates">LeaveTracker[开始日期]</definedName>
    <definedName name="Title1">AttendanceRecord[[#Headers],[星期几/月]]</definedName>
    <definedName name="Title2">LeaveTracker[[#Headers],[员工姓名]]</definedName>
    <definedName name="valSelEmployee">日历视图!$C$2</definedName>
    <definedName name="不">员工休假跟踪表!$E$740</definedName>
  </definedNames>
  <calcPr calcId="171027"/>
</workbook>
</file>

<file path=xl/calcChain.xml><?xml version="1.0" encoding="utf-8"?>
<calcChain xmlns="http://schemas.openxmlformats.org/spreadsheetml/2006/main">
  <c r="D11" i="1" l="1"/>
  <c r="D24" i="1"/>
  <c r="D22" i="1"/>
  <c r="D21" i="1"/>
  <c r="D20" i="1"/>
  <c r="D19" i="1"/>
  <c r="D18" i="1"/>
  <c r="D12" i="1"/>
  <c r="D9" i="1"/>
  <c r="D8" i="1"/>
  <c r="D7" i="1"/>
  <c r="C22" i="1"/>
  <c r="C24" i="1"/>
  <c r="C21" i="1"/>
  <c r="C20" i="1"/>
  <c r="C19" i="1"/>
  <c r="C18" i="1"/>
  <c r="C12" i="1"/>
  <c r="C11" i="1"/>
  <c r="C9" i="1"/>
  <c r="C8" i="1"/>
  <c r="C7" i="1"/>
  <c r="B9" i="5"/>
  <c r="B8" i="5"/>
  <c r="B7" i="5"/>
  <c r="B6" i="5"/>
  <c r="B5" i="5"/>
  <c r="B4" i="5"/>
  <c r="D4" i="1"/>
  <c r="D5" i="1"/>
  <c r="D6" i="1"/>
  <c r="D10" i="1"/>
  <c r="D13" i="1"/>
  <c r="D14" i="1"/>
  <c r="D15" i="1"/>
  <c r="D16" i="1"/>
  <c r="D17" i="1"/>
  <c r="D23" i="1"/>
  <c r="D25" i="1"/>
  <c r="D26" i="1"/>
  <c r="C4" i="1"/>
  <c r="C5" i="1"/>
  <c r="C6" i="1"/>
  <c r="C10" i="1"/>
  <c r="C13" i="1"/>
  <c r="C14" i="1"/>
  <c r="C15" i="1"/>
  <c r="C16" i="1"/>
  <c r="C17" i="1"/>
  <c r="C23" i="1"/>
  <c r="C25" i="1"/>
  <c r="C26" i="1"/>
  <c r="F13" i="1" l="1"/>
  <c r="F17" i="1"/>
  <c r="F4" i="1"/>
  <c r="F16" i="1"/>
  <c r="F19" i="1"/>
  <c r="F25" i="1"/>
  <c r="F15" i="1"/>
  <c r="F20" i="1"/>
  <c r="F26" i="1"/>
  <c r="F22" i="1"/>
  <c r="F23" i="1"/>
  <c r="F14" i="1"/>
  <c r="F5" i="1"/>
  <c r="F21" i="1"/>
  <c r="F8" i="1"/>
  <c r="F18" i="1"/>
  <c r="F24" i="1"/>
  <c r="F10" i="1"/>
  <c r="F9" i="1"/>
  <c r="F6" i="1"/>
  <c r="F11" i="1"/>
  <c r="F7" i="1"/>
  <c r="F12" i="1"/>
  <c r="C3" i="3"/>
  <c r="I12" i="3" l="1"/>
  <c r="I9" i="3"/>
  <c r="H17" i="3"/>
  <c r="I17" i="3" s="1"/>
  <c r="H14" i="3"/>
  <c r="I14" i="3" s="1"/>
  <c r="G11" i="3"/>
  <c r="H11" i="3" s="1"/>
  <c r="I11" i="3" s="1"/>
  <c r="F7" i="3"/>
  <c r="G7" i="3" s="1"/>
  <c r="H7" i="3" s="1"/>
  <c r="I7" i="3" s="1"/>
  <c r="F8" i="3"/>
  <c r="G8" i="3" s="1"/>
  <c r="H8" i="3" s="1"/>
  <c r="I8" i="3" s="1"/>
  <c r="F16" i="3"/>
  <c r="G16" i="3" s="1"/>
  <c r="H16" i="3" s="1"/>
  <c r="I16" i="3" s="1"/>
  <c r="E13" i="3"/>
  <c r="F13" i="3" s="1"/>
  <c r="G13" i="3" s="1"/>
  <c r="H13" i="3" s="1"/>
  <c r="I13" i="3" s="1"/>
  <c r="D10" i="3"/>
  <c r="E10" i="3" s="1"/>
  <c r="F10" i="3" s="1"/>
  <c r="G10" i="3" s="1"/>
  <c r="H10" i="3" s="1"/>
  <c r="I10" i="3" s="1"/>
  <c r="C6" i="3"/>
  <c r="D6" i="3" s="1"/>
  <c r="E6" i="3" s="1"/>
  <c r="F6" i="3" s="1"/>
  <c r="G6" i="3" s="1"/>
  <c r="H6" i="3" s="1"/>
  <c r="I6" i="3" s="1"/>
  <c r="C10" i="3"/>
  <c r="C14" i="3"/>
  <c r="D14" i="3" s="1"/>
  <c r="E14" i="3" s="1"/>
  <c r="F14" i="3" s="1"/>
  <c r="G14" i="3" s="1"/>
  <c r="C9" i="3"/>
  <c r="C13" i="3"/>
  <c r="C17" i="3"/>
  <c r="C7" i="3"/>
  <c r="D7" i="3" s="1"/>
  <c r="E7" i="3" s="1"/>
  <c r="C11" i="3"/>
  <c r="C15" i="3"/>
  <c r="D15" i="3" s="1"/>
  <c r="E15" i="3" s="1"/>
  <c r="F15" i="3" s="1"/>
  <c r="G15" i="3" s="1"/>
  <c r="H15" i="3" s="1"/>
  <c r="I15" i="3" s="1"/>
  <c r="C8" i="3"/>
  <c r="C12" i="3"/>
  <c r="C16" i="3"/>
  <c r="S21" i="3"/>
  <c r="N21" i="3"/>
  <c r="AC21" i="3"/>
  <c r="X21" i="3"/>
  <c r="X22" i="3" s="1"/>
  <c r="X20" i="3"/>
  <c r="AC20" i="3"/>
  <c r="N20" i="3"/>
  <c r="S20" i="3"/>
  <c r="H21" i="3"/>
  <c r="H20" i="3"/>
  <c r="N22" i="3" l="1"/>
  <c r="H22" i="3"/>
  <c r="AC22" i="3"/>
  <c r="S22" i="3"/>
  <c r="J13" i="3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D9" i="3"/>
  <c r="D16" i="3"/>
  <c r="D13" i="3"/>
  <c r="J7" i="3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Y7" i="3" s="1"/>
  <c r="Z7" i="3" s="1"/>
  <c r="AA7" i="3" s="1"/>
  <c r="AB7" i="3" s="1"/>
  <c r="AC7" i="3" s="1"/>
  <c r="AD7" i="3" s="1"/>
  <c r="AE7" i="3" s="1"/>
  <c r="AF7" i="3" s="1"/>
  <c r="AG7" i="3" s="1"/>
  <c r="AH7" i="3" s="1"/>
  <c r="AI7" i="3" s="1"/>
  <c r="AJ7" i="3" s="1"/>
  <c r="AK7" i="3" s="1"/>
  <c r="AL7" i="3" s="1"/>
  <c r="AM7" i="3" s="1"/>
  <c r="AN7" i="3" s="1"/>
  <c r="AO7" i="3" s="1"/>
  <c r="AP7" i="3" s="1"/>
  <c r="AQ7" i="3" s="1"/>
  <c r="AR7" i="3" s="1"/>
  <c r="J14" i="3"/>
  <c r="K14" i="3" s="1"/>
  <c r="L14" i="3" s="1"/>
  <c r="M14" i="3" s="1"/>
  <c r="N14" i="3" s="1"/>
  <c r="O14" i="3" s="1"/>
  <c r="P14" i="3" s="1"/>
  <c r="Q14" i="3" s="1"/>
  <c r="R14" i="3" s="1"/>
  <c r="S14" i="3" s="1"/>
  <c r="T14" i="3" s="1"/>
  <c r="U14" i="3" s="1"/>
  <c r="V14" i="3" s="1"/>
  <c r="W14" i="3" s="1"/>
  <c r="X14" i="3" s="1"/>
  <c r="Y14" i="3" s="1"/>
  <c r="Z14" i="3" s="1"/>
  <c r="AA14" i="3" s="1"/>
  <c r="AB14" i="3" s="1"/>
  <c r="AC14" i="3" s="1"/>
  <c r="AD14" i="3" s="1"/>
  <c r="AE14" i="3" s="1"/>
  <c r="AF14" i="3" s="1"/>
  <c r="AG14" i="3" s="1"/>
  <c r="AH14" i="3" s="1"/>
  <c r="AI14" i="3" s="1"/>
  <c r="AJ14" i="3" s="1"/>
  <c r="AK14" i="3" s="1"/>
  <c r="AL14" i="3" s="1"/>
  <c r="AM14" i="3" s="1"/>
  <c r="AN14" i="3" s="1"/>
  <c r="AO14" i="3" s="1"/>
  <c r="AP14" i="3" s="1"/>
  <c r="AQ14" i="3" s="1"/>
  <c r="AR14" i="3" s="1"/>
  <c r="D12" i="3"/>
  <c r="D17" i="3"/>
  <c r="E17" i="3" s="1"/>
  <c r="F17" i="3" s="1"/>
  <c r="D11" i="3"/>
  <c r="D8" i="3"/>
  <c r="J6" i="3"/>
  <c r="J10" i="3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AK10" i="3" s="1"/>
  <c r="AL10" i="3" s="1"/>
  <c r="AM10" i="3" s="1"/>
  <c r="AN10" i="3" s="1"/>
  <c r="AO10" i="3" s="1"/>
  <c r="AP10" i="3" s="1"/>
  <c r="AQ10" i="3" s="1"/>
  <c r="AR10" i="3" s="1"/>
  <c r="J15" i="3"/>
  <c r="K15" i="3" s="1"/>
  <c r="L15" i="3" s="1"/>
  <c r="M15" i="3" s="1"/>
  <c r="N15" i="3" s="1"/>
  <c r="O15" i="3" s="1"/>
  <c r="P15" i="3" s="1"/>
  <c r="Q15" i="3" s="1"/>
  <c r="R15" i="3" s="1"/>
  <c r="S15" i="3" s="1"/>
  <c r="T15" i="3" s="1"/>
  <c r="U15" i="3" s="1"/>
  <c r="V15" i="3" s="1"/>
  <c r="W15" i="3" s="1"/>
  <c r="X15" i="3" s="1"/>
  <c r="Y15" i="3" s="1"/>
  <c r="Z15" i="3" s="1"/>
  <c r="AA15" i="3" s="1"/>
  <c r="AB15" i="3" s="1"/>
  <c r="AC15" i="3" s="1"/>
  <c r="AD15" i="3" s="1"/>
  <c r="AE15" i="3" s="1"/>
  <c r="AF15" i="3" s="1"/>
  <c r="AG15" i="3" s="1"/>
  <c r="AH15" i="3" s="1"/>
  <c r="AI15" i="3" s="1"/>
  <c r="AJ15" i="3" s="1"/>
  <c r="AK15" i="3" s="1"/>
  <c r="AL15" i="3" s="1"/>
  <c r="AM15" i="3" s="1"/>
  <c r="AN15" i="3" s="1"/>
  <c r="AO15" i="3" s="1"/>
  <c r="AP15" i="3" s="1"/>
  <c r="AQ15" i="3" s="1"/>
  <c r="AR15" i="3" s="1"/>
  <c r="J17" i="3" l="1"/>
  <c r="K17" i="3" s="1"/>
  <c r="L17" i="3" s="1"/>
  <c r="M17" i="3" s="1"/>
  <c r="N17" i="3" s="1"/>
  <c r="O17" i="3" s="1"/>
  <c r="P17" i="3" s="1"/>
  <c r="Q17" i="3" s="1"/>
  <c r="R17" i="3" s="1"/>
  <c r="S17" i="3" s="1"/>
  <c r="T17" i="3" s="1"/>
  <c r="U17" i="3" s="1"/>
  <c r="V17" i="3" s="1"/>
  <c r="W17" i="3" s="1"/>
  <c r="X17" i="3" s="1"/>
  <c r="Y17" i="3" s="1"/>
  <c r="Z17" i="3" s="1"/>
  <c r="AA17" i="3" s="1"/>
  <c r="AB17" i="3" s="1"/>
  <c r="AC17" i="3" s="1"/>
  <c r="AD17" i="3" s="1"/>
  <c r="AE17" i="3" s="1"/>
  <c r="AF17" i="3" s="1"/>
  <c r="AG17" i="3" s="1"/>
  <c r="AH17" i="3" s="1"/>
  <c r="AI17" i="3" s="1"/>
  <c r="AJ17" i="3" s="1"/>
  <c r="AK17" i="3" s="1"/>
  <c r="AL17" i="3" s="1"/>
  <c r="AM17" i="3" s="1"/>
  <c r="AN17" i="3" s="1"/>
  <c r="AO17" i="3" s="1"/>
  <c r="AP17" i="3" s="1"/>
  <c r="AQ17" i="3" s="1"/>
  <c r="AR17" i="3" s="1"/>
  <c r="G17" i="3"/>
  <c r="E11" i="3"/>
  <c r="E12" i="3"/>
  <c r="J16" i="3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  <c r="AG16" i="3" s="1"/>
  <c r="AH16" i="3" s="1"/>
  <c r="AI16" i="3" s="1"/>
  <c r="AJ16" i="3" s="1"/>
  <c r="AK16" i="3" s="1"/>
  <c r="AL16" i="3" s="1"/>
  <c r="AM16" i="3" s="1"/>
  <c r="AN16" i="3" s="1"/>
  <c r="AO16" i="3" s="1"/>
  <c r="AP16" i="3" s="1"/>
  <c r="AQ16" i="3" s="1"/>
  <c r="AR16" i="3" s="1"/>
  <c r="E16" i="3"/>
  <c r="J8" i="3"/>
  <c r="K8" i="3" s="1"/>
  <c r="L8" i="3" s="1"/>
  <c r="M8" i="3" s="1"/>
  <c r="N8" i="3" s="1"/>
  <c r="O8" i="3" s="1"/>
  <c r="P8" i="3" s="1"/>
  <c r="Q8" i="3" s="1"/>
  <c r="R8" i="3" s="1"/>
  <c r="S8" i="3" s="1"/>
  <c r="T8" i="3" s="1"/>
  <c r="U8" i="3" s="1"/>
  <c r="V8" i="3" s="1"/>
  <c r="W8" i="3" s="1"/>
  <c r="X8" i="3" s="1"/>
  <c r="Y8" i="3" s="1"/>
  <c r="Z8" i="3" s="1"/>
  <c r="AA8" i="3" s="1"/>
  <c r="AB8" i="3" s="1"/>
  <c r="AC8" i="3" s="1"/>
  <c r="AD8" i="3" s="1"/>
  <c r="AE8" i="3" s="1"/>
  <c r="AF8" i="3" s="1"/>
  <c r="AG8" i="3" s="1"/>
  <c r="AH8" i="3" s="1"/>
  <c r="AI8" i="3" s="1"/>
  <c r="AJ8" i="3" s="1"/>
  <c r="AK8" i="3" s="1"/>
  <c r="AL8" i="3" s="1"/>
  <c r="AM8" i="3" s="1"/>
  <c r="AN8" i="3" s="1"/>
  <c r="AO8" i="3" s="1"/>
  <c r="AP8" i="3" s="1"/>
  <c r="AQ8" i="3" s="1"/>
  <c r="AR8" i="3" s="1"/>
  <c r="E8" i="3"/>
  <c r="E9" i="3"/>
  <c r="F9" i="3" s="1"/>
  <c r="K6" i="3"/>
  <c r="L6" i="3" s="1"/>
  <c r="M6" i="3" s="1"/>
  <c r="N6" i="3" s="1"/>
  <c r="O6" i="3" s="1"/>
  <c r="P6" i="3" s="1"/>
  <c r="Q6" i="3" s="1"/>
  <c r="R6" i="3" s="1"/>
  <c r="S6" i="3" s="1"/>
  <c r="T6" i="3" s="1"/>
  <c r="U6" i="3" s="1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AG6" i="3" s="1"/>
  <c r="AH6" i="3" s="1"/>
  <c r="AI6" i="3" s="1"/>
  <c r="AJ6" i="3" s="1"/>
  <c r="AK6" i="3" s="1"/>
  <c r="AL6" i="3" s="1"/>
  <c r="AM6" i="3" s="1"/>
  <c r="AN6" i="3" s="1"/>
  <c r="AO6" i="3" s="1"/>
  <c r="AP6" i="3" s="1"/>
  <c r="AQ6" i="3" s="1"/>
  <c r="AR6" i="3" s="1"/>
  <c r="C21" i="3"/>
  <c r="C20" i="3"/>
  <c r="C22" i="3" l="1"/>
  <c r="G9" i="3"/>
  <c r="F12" i="3"/>
  <c r="J11" i="3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AK11" i="3" s="1"/>
  <c r="AL11" i="3" s="1"/>
  <c r="AM11" i="3" s="1"/>
  <c r="AN11" i="3" s="1"/>
  <c r="AO11" i="3" s="1"/>
  <c r="AP11" i="3" s="1"/>
  <c r="AQ11" i="3" s="1"/>
  <c r="AR11" i="3" s="1"/>
  <c r="F11" i="3"/>
  <c r="J9" i="3" l="1"/>
  <c r="K9" i="3" s="1"/>
  <c r="L9" i="3" s="1"/>
  <c r="M9" i="3" s="1"/>
  <c r="N9" i="3" s="1"/>
  <c r="O9" i="3" s="1"/>
  <c r="P9" i="3" s="1"/>
  <c r="Q9" i="3" s="1"/>
  <c r="R9" i="3" s="1"/>
  <c r="S9" i="3" s="1"/>
  <c r="T9" i="3" s="1"/>
  <c r="U9" i="3" s="1"/>
  <c r="V9" i="3" s="1"/>
  <c r="W9" i="3" s="1"/>
  <c r="X9" i="3" s="1"/>
  <c r="Y9" i="3" s="1"/>
  <c r="Z9" i="3" s="1"/>
  <c r="AA9" i="3" s="1"/>
  <c r="AB9" i="3" s="1"/>
  <c r="AC9" i="3" s="1"/>
  <c r="AD9" i="3" s="1"/>
  <c r="AE9" i="3" s="1"/>
  <c r="AF9" i="3" s="1"/>
  <c r="AG9" i="3" s="1"/>
  <c r="AH9" i="3" s="1"/>
  <c r="AI9" i="3" s="1"/>
  <c r="AJ9" i="3" s="1"/>
  <c r="AK9" i="3" s="1"/>
  <c r="AL9" i="3" s="1"/>
  <c r="AM9" i="3" s="1"/>
  <c r="AN9" i="3" s="1"/>
  <c r="AO9" i="3" s="1"/>
  <c r="AP9" i="3" s="1"/>
  <c r="AQ9" i="3" s="1"/>
  <c r="AR9" i="3" s="1"/>
  <c r="H9" i="3"/>
  <c r="G12" i="3"/>
  <c r="J12" i="3" l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N12" i="3" s="1"/>
  <c r="AO12" i="3" s="1"/>
  <c r="AP12" i="3" s="1"/>
  <c r="AQ12" i="3" s="1"/>
  <c r="AR12" i="3" s="1"/>
  <c r="H12" i="3"/>
</calcChain>
</file>

<file path=xl/sharedStrings.xml><?xml version="1.0" encoding="utf-8"?>
<sst xmlns="http://schemas.openxmlformats.org/spreadsheetml/2006/main" count="140" uniqueCount="89">
  <si>
    <t>员工考勤记录</t>
  </si>
  <si>
    <t>选择员工：</t>
  </si>
  <si>
    <t>输入年份：</t>
  </si>
  <si>
    <t>星期几/月</t>
  </si>
  <si>
    <t>1 月</t>
  </si>
  <si>
    <t>2 月</t>
  </si>
  <si>
    <t>3 月</t>
  </si>
  <si>
    <t>4 月</t>
  </si>
  <si>
    <t>5 月</t>
  </si>
  <si>
    <t>6 月</t>
  </si>
  <si>
    <t>7 月</t>
  </si>
  <si>
    <t>8 月</t>
  </si>
  <si>
    <t>9 月</t>
  </si>
  <si>
    <t>10 月</t>
  </si>
  <si>
    <t>11 月</t>
  </si>
  <si>
    <t>12 月</t>
  </si>
  <si>
    <t>主要统计信息</t>
  </si>
  <si>
    <t>员工 1</t>
  </si>
  <si>
    <t>休假天数</t>
  </si>
  <si>
    <t>工作天数</t>
  </si>
  <si>
    <t>病假天数</t>
  </si>
  <si>
    <t>假期</t>
  </si>
  <si>
    <t>丧假</t>
  </si>
  <si>
    <t>其他</t>
  </si>
  <si>
    <t>员工休假跟踪表</t>
  </si>
  <si>
    <t>员工姓名</t>
  </si>
  <si>
    <t>开始日期</t>
  </si>
  <si>
    <t>结束日期</t>
  </si>
  <si>
    <t>休假类型</t>
  </si>
  <si>
    <t>天数</t>
  </si>
  <si>
    <t>员工名单</t>
  </si>
  <si>
    <t>休假类型列表</t>
  </si>
  <si>
    <t>公司假期</t>
  </si>
  <si>
    <t>说明</t>
  </si>
  <si>
    <t>日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</si>
  <si>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</si>
  <si>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</si>
  <si>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</si>
  <si>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</si>
  <si>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</si>
  <si>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</si>
  <si>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 xml:space="preserve">二   </t>
  </si>
  <si>
    <t xml:space="preserve">三   </t>
  </si>
  <si>
    <t xml:space="preserve">四   </t>
  </si>
  <si>
    <t xml:space="preserve">五   </t>
  </si>
  <si>
    <t xml:space="preserve">六   </t>
  </si>
  <si>
    <t xml:space="preserve">日    </t>
  </si>
  <si>
    <t xml:space="preserve">一    </t>
  </si>
  <si>
    <t xml:space="preserve">二    </t>
  </si>
  <si>
    <t xml:space="preserve">三    </t>
  </si>
  <si>
    <t xml:space="preserve">四    </t>
  </si>
  <si>
    <t xml:space="preserve">五    </t>
  </si>
  <si>
    <t xml:space="preserve">六    </t>
  </si>
  <si>
    <t xml:space="preserve">日     </t>
  </si>
  <si>
    <t xml:space="preserve">一     </t>
  </si>
  <si>
    <t xml:space="preserve">二     </t>
  </si>
  <si>
    <t xml:space="preserve">三     </t>
  </si>
  <si>
    <t xml:space="preserve">四  </t>
  </si>
  <si>
    <t xml:space="preserve">五     </t>
  </si>
  <si>
    <t xml:space="preserve">六     </t>
  </si>
  <si>
    <t xml:space="preserve">日 </t>
  </si>
  <si>
    <t xml:space="preserve">一 </t>
  </si>
  <si>
    <t xml:space="preserve">二 </t>
  </si>
  <si>
    <t xml:space="preserve">三 </t>
  </si>
  <si>
    <t xml:space="preserve">四 </t>
  </si>
  <si>
    <t xml:space="preserve">五 </t>
  </si>
  <si>
    <t xml:space="preserve">六 </t>
  </si>
  <si>
    <t xml:space="preserve">日  </t>
  </si>
  <si>
    <t xml:space="preserve">一  </t>
  </si>
  <si>
    <t xml:space="preserve">二  </t>
  </si>
  <si>
    <t xml:space="preserve">三  </t>
  </si>
  <si>
    <t xml:space="preserve">五  </t>
  </si>
  <si>
    <t xml:space="preserve">六  </t>
  </si>
  <si>
    <t xml:space="preserve">日   </t>
    <phoneticPr fontId="1" type="noConversion"/>
  </si>
  <si>
    <t xml:space="preserve">一   </t>
    <phoneticPr fontId="1" type="noConversion"/>
  </si>
  <si>
    <t xml:space="preserve">四        </t>
    <phoneticPr fontId="1" type="noConversion"/>
  </si>
  <si>
    <r>
      <rPr>
        <sz val="11"/>
        <color theme="1"/>
        <rFont val="Microsoft YaHei UI"/>
        <family val="2"/>
        <charset val="134"/>
        <scheme val="minor"/>
      </rPr>
      <t>员工</t>
    </r>
    <r>
      <rPr>
        <sz val="11"/>
        <color theme="1"/>
        <rFont val="Microsoft YaHei UI"/>
        <family val="2"/>
        <charset val="134"/>
      </rPr>
      <t xml:space="preserve"> 1</t>
    </r>
  </si>
  <si>
    <r>
      <rPr>
        <sz val="11"/>
        <color theme="1"/>
        <rFont val="Microsoft YaHei UI"/>
        <family val="2"/>
        <charset val="134"/>
        <scheme val="minor"/>
      </rPr>
      <t>员工</t>
    </r>
    <r>
      <rPr>
        <sz val="11"/>
        <color theme="1"/>
        <rFont val="Microsoft YaHei UI"/>
        <family val="2"/>
        <charset val="134"/>
      </rPr>
      <t xml:space="preserve"> 2</t>
    </r>
  </si>
  <si>
    <r>
      <rPr>
        <sz val="11"/>
        <color theme="1"/>
        <rFont val="Microsoft YaHei UI"/>
        <family val="2"/>
        <charset val="134"/>
        <scheme val="minor"/>
      </rPr>
      <t>员工</t>
    </r>
    <r>
      <rPr>
        <sz val="11"/>
        <color theme="1"/>
        <rFont val="Microsoft YaHei UI"/>
        <family val="2"/>
        <charset val="134"/>
      </rPr>
      <t xml:space="preserve"> 3</t>
    </r>
  </si>
  <si>
    <r>
      <rPr>
        <sz val="11"/>
        <color theme="1"/>
        <rFont val="Microsoft YaHei UI"/>
        <family val="2"/>
        <charset val="134"/>
        <scheme val="minor"/>
      </rPr>
      <t>员工</t>
    </r>
    <r>
      <rPr>
        <sz val="11"/>
        <color theme="1"/>
        <rFont val="Microsoft YaHei UI"/>
        <family val="2"/>
        <charset val="134"/>
      </rPr>
      <t xml:space="preserve"> 5</t>
    </r>
  </si>
  <si>
    <r>
      <rPr>
        <sz val="11"/>
        <color theme="1"/>
        <rFont val="Microsoft YaHei UI"/>
        <family val="2"/>
        <charset val="134"/>
        <scheme val="minor"/>
      </rPr>
      <t>员工</t>
    </r>
    <r>
      <rPr>
        <sz val="11"/>
        <color theme="1"/>
        <rFont val="Microsoft YaHei UI"/>
        <family val="2"/>
        <charset val="134"/>
      </rPr>
      <t xml:space="preserve"> 4</t>
    </r>
  </si>
  <si>
    <r>
      <rPr>
        <sz val="11"/>
        <color theme="1"/>
        <rFont val="Microsoft YaHei UI"/>
        <family val="2"/>
        <charset val="134"/>
        <scheme val="minor"/>
      </rPr>
      <t>病假</t>
    </r>
  </si>
  <si>
    <r>
      <rPr>
        <sz val="11"/>
        <color theme="1"/>
        <rFont val="Microsoft YaHei UI"/>
        <family val="2"/>
        <charset val="134"/>
        <scheme val="minor"/>
      </rPr>
      <t>其他</t>
    </r>
  </si>
  <si>
    <r>
      <rPr>
        <sz val="11"/>
        <color theme="1"/>
        <rFont val="Microsoft YaHei UI"/>
        <family val="2"/>
        <charset val="134"/>
        <scheme val="minor"/>
      </rPr>
      <t>丧假</t>
    </r>
  </si>
  <si>
    <r>
      <rPr>
        <sz val="11"/>
        <color theme="1"/>
        <rFont val="Microsoft YaHei UI"/>
        <family val="2"/>
        <charset val="134"/>
        <scheme val="minor"/>
      </rPr>
      <t>假期</t>
    </r>
  </si>
  <si>
    <r>
      <rPr>
        <sz val="11"/>
        <color theme="1"/>
        <rFont val="Microsoft YaHei UI"/>
        <family val="2"/>
        <charset val="134"/>
        <scheme val="minor"/>
      </rPr>
      <t>元旦</t>
    </r>
  </si>
  <si>
    <r>
      <rPr>
        <sz val="11"/>
        <color theme="1"/>
        <rFont val="Microsoft YaHei UI"/>
        <family val="2"/>
        <charset val="134"/>
        <scheme val="minor"/>
      </rPr>
      <t>独立日</t>
    </r>
  </si>
  <si>
    <r>
      <rPr>
        <sz val="11"/>
        <color theme="1"/>
        <rFont val="Microsoft YaHei UI"/>
        <family val="2"/>
        <charset val="134"/>
        <scheme val="minor"/>
      </rPr>
      <t>感恩节</t>
    </r>
  </si>
  <si>
    <r>
      <rPr>
        <sz val="11"/>
        <color theme="1"/>
        <rFont val="Microsoft YaHei UI"/>
        <family val="2"/>
        <charset val="134"/>
        <scheme val="minor"/>
      </rPr>
      <t>圣诞节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</si>
</sst>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d"/>
    <numFmt numFmtId="177" formatCode="&quot;LAST YEAR &quot;\ General"/>
    <numFmt numFmtId="178" formatCode="0_ "/>
    <numFmt numFmtId="179" formatCode="&quot;去年 &quot;\ General\ &quot; 天&quot;"/>
  </numFmts>
  <fonts count="37" x14ac:knownFonts="1">
    <font>
      <sz val="11"/>
      <color theme="1"/>
      <name val="Microsoft YaHei UI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12"/>
      <color theme="0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b/>
      <sz val="30"/>
      <color theme="0"/>
      <name val="Microsoft YaHei UI"/>
      <family val="2"/>
      <charset val="134"/>
    </font>
    <font>
      <sz val="11"/>
      <color theme="3" tint="-0.499984740745262"/>
      <name val="Microsoft YaHei UI"/>
      <family val="2"/>
      <charset val="134"/>
    </font>
    <font>
      <b/>
      <sz val="11"/>
      <color theme="9" tint="-0.499984740745262"/>
      <name val="Microsoft YaHei UI"/>
      <family val="2"/>
      <charset val="134"/>
    </font>
    <font>
      <sz val="11"/>
      <color theme="1"/>
      <name val="Microsoft YaHei UI"/>
      <family val="2"/>
      <charset val="134"/>
      <scheme val="minor"/>
    </font>
    <font>
      <b/>
      <sz val="11"/>
      <color theme="1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650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b/>
      <sz val="26"/>
      <color theme="3"/>
      <name val="宋体"/>
      <family val="3"/>
      <charset val="134"/>
    </font>
    <font>
      <sz val="11"/>
      <color theme="3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Microsoft YaHei UI"/>
      <family val="2"/>
      <charset val="134"/>
    </font>
    <font>
      <b/>
      <sz val="26"/>
      <color theme="3"/>
      <name val="宋体"/>
      <family val="3"/>
      <charset val="134"/>
    </font>
    <font>
      <sz val="11"/>
      <color theme="3"/>
      <name val="宋体"/>
      <family val="3"/>
      <charset val="134"/>
    </font>
    <font>
      <sz val="12"/>
      <color theme="0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b/>
      <sz val="26"/>
      <color theme="3"/>
      <name val="Microsoft YaHei UI"/>
      <family val="2"/>
      <charset val="134"/>
    </font>
    <font>
      <b/>
      <sz val="23"/>
      <color theme="3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9"/>
      <color theme="3"/>
      <name val="Microsoft YaHei UI"/>
      <family val="2"/>
      <charset val="134"/>
    </font>
    <font>
      <b/>
      <sz val="30"/>
      <color theme="0"/>
      <name val="Microsoft YaHei UI"/>
      <family val="2"/>
      <charset val="134"/>
    </font>
    <font>
      <b/>
      <sz val="30"/>
      <color theme="3"/>
      <name val="Microsoft YaHei UI"/>
      <family val="2"/>
      <charset val="134"/>
    </font>
    <font>
      <sz val="11"/>
      <color theme="3" tint="-0.499984740745262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11"/>
      <color theme="9" tint="-0.499984740745262"/>
      <name val="Microsoft YaHei UI"/>
      <family val="2"/>
      <charset val="134"/>
    </font>
  </fonts>
  <fills count="3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>
      <alignment vertical="center"/>
    </xf>
    <xf numFmtId="0" fontId="20" fillId="0" borderId="0" applyNumberFormat="0" applyFill="0" applyBorder="0" applyProtection="0">
      <alignment horizontal="left" vertical="center"/>
    </xf>
    <xf numFmtId="0" fontId="5" fillId="2" borderId="2">
      <alignment horizontal="center"/>
    </xf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2" borderId="3">
      <alignment horizontal="left" vertical="center" wrapText="1" indent="1"/>
    </xf>
    <xf numFmtId="0" fontId="21" fillId="0" borderId="0">
      <alignment horizontal="left" vertical="center" indent="2"/>
    </xf>
    <xf numFmtId="0" fontId="6" fillId="2" borderId="0">
      <alignment horizontal="center" vertical="center"/>
    </xf>
    <xf numFmtId="0" fontId="3" fillId="0" borderId="1" applyNumberFormat="0" applyFill="0" applyAlignment="0">
      <alignment horizontal="center" vertical="center"/>
    </xf>
    <xf numFmtId="0" fontId="2" fillId="0" borderId="0">
      <alignment horizontal="left" vertical="center" wrapText="1" indent="1"/>
    </xf>
    <xf numFmtId="0" fontId="22" fillId="0" borderId="0">
      <alignment horizontal="left" vertical="center" indent="1"/>
    </xf>
    <xf numFmtId="178" fontId="2" fillId="0" borderId="0">
      <alignment horizontal="center" vertical="center"/>
    </xf>
    <xf numFmtId="14" fontId="2" fillId="0" borderId="0">
      <alignment horizontal="left" vertical="center" indent="1"/>
    </xf>
    <xf numFmtId="0" fontId="5" fillId="7" borderId="0" applyProtection="0">
      <alignment horizontal="center" vertical="center"/>
    </xf>
    <xf numFmtId="0" fontId="21" fillId="0" borderId="0" applyFill="0" applyProtection="0">
      <alignment horizontal="right" indent="1"/>
    </xf>
    <xf numFmtId="0" fontId="21" fillId="0" borderId="0" applyFill="0" applyProtection="0">
      <alignment horizontal="center" vertical="center"/>
    </xf>
    <xf numFmtId="177" fontId="7" fillId="0" borderId="0" applyFill="0" applyProtection="0">
      <alignment horizontal="center" vertical="center"/>
    </xf>
    <xf numFmtId="0" fontId="8" fillId="0" borderId="0" applyFill="0" applyProtection="0">
      <alignment horizontal="center" vertical="center"/>
    </xf>
    <xf numFmtId="176" fontId="2" fillId="0" borderId="0" applyFill="0" applyBorder="0">
      <alignment horizontal="center" vertical="center"/>
    </xf>
    <xf numFmtId="0" fontId="5" fillId="7" borderId="0" applyNumberFormat="0" applyBorder="0" applyProtection="0">
      <alignment horizontal="center" vertical="center"/>
    </xf>
    <xf numFmtId="0" fontId="4" fillId="2" borderId="3">
      <alignment horizontal="left" vertical="center" indent="1"/>
    </xf>
    <xf numFmtId="43" fontId="2" fillId="0" borderId="0" applyFill="0" applyBorder="0" applyAlignment="0" applyProtection="0">
      <alignment vertical="center"/>
    </xf>
    <xf numFmtId="41" fontId="2" fillId="0" borderId="0" applyFill="0" applyBorder="0" applyAlignment="0" applyProtection="0">
      <alignment vertical="center"/>
    </xf>
    <xf numFmtId="44" fontId="2" fillId="0" borderId="0" applyFill="0" applyBorder="0" applyAlignment="0" applyProtection="0">
      <alignment vertical="center"/>
    </xf>
    <xf numFmtId="42" fontId="2" fillId="0" borderId="0" applyFill="0" applyBorder="0" applyAlignment="0" applyProtection="0">
      <alignment vertical="center"/>
    </xf>
    <xf numFmtId="9" fontId="2" fillId="0" borderId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1" borderId="4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15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" fillId="14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14">
      <alignment horizontal="left" vertical="center" indent="1"/>
    </xf>
    <xf numFmtId="178" fontId="2" fillId="0" borderId="0" xfId="13">
      <alignment horizontal="center" vertical="center"/>
    </xf>
    <xf numFmtId="0" fontId="2" fillId="0" borderId="0" xfId="11">
      <alignment horizontal="left" vertical="center" wrapText="1" indent="1"/>
    </xf>
    <xf numFmtId="0" fontId="20" fillId="0" borderId="0" xfId="1" applyFont="1">
      <alignment horizontal="left" vertical="center"/>
    </xf>
    <xf numFmtId="0" fontId="22" fillId="0" borderId="0" xfId="12" applyFont="1">
      <alignment horizontal="left" vertical="center" indent="1"/>
    </xf>
    <xf numFmtId="0" fontId="23" fillId="0" borderId="0" xfId="0" applyFont="1">
      <alignment vertical="center"/>
    </xf>
    <xf numFmtId="0" fontId="24" fillId="0" borderId="0" xfId="1" applyFont="1" applyBorder="1">
      <alignment horizontal="left" vertical="center"/>
    </xf>
    <xf numFmtId="0" fontId="25" fillId="0" borderId="0" xfId="16" applyFont="1">
      <alignment horizontal="right" indent="1"/>
    </xf>
    <xf numFmtId="0" fontId="27" fillId="0" borderId="0" xfId="0" applyFont="1" applyBorder="1" applyAlignment="1">
      <alignment horizontal="right" vertical="center" indent="1"/>
    </xf>
    <xf numFmtId="0" fontId="28" fillId="0" borderId="0" xfId="1" applyFont="1" applyBorder="1" applyAlignment="1">
      <alignment horizontal="left" vertical="center" wrapText="1" indent="1"/>
    </xf>
    <xf numFmtId="0" fontId="23" fillId="0" borderId="0" xfId="0" applyFont="1" applyBorder="1">
      <alignment vertical="center"/>
    </xf>
    <xf numFmtId="0" fontId="25" fillId="0" borderId="0" xfId="8" applyFont="1">
      <alignment horizontal="left" vertical="center" indent="2"/>
    </xf>
    <xf numFmtId="176" fontId="23" fillId="0" borderId="0" xfId="20" applyFont="1" applyFill="1" applyBorder="1">
      <alignment horizontal="center" vertical="center"/>
    </xf>
    <xf numFmtId="0" fontId="23" fillId="0" borderId="0" xfId="0" quotePrefix="1" applyFont="1">
      <alignment vertical="center"/>
    </xf>
    <xf numFmtId="0" fontId="24" fillId="0" borderId="0" xfId="1" applyFont="1" applyFill="1" applyBorder="1">
      <alignment horizontal="left" vertical="center"/>
    </xf>
    <xf numFmtId="0" fontId="29" fillId="0" borderId="0" xfId="0" applyFont="1" applyFill="1" applyBorder="1">
      <alignment vertical="center"/>
    </xf>
    <xf numFmtId="0" fontId="30" fillId="0" borderId="0" xfId="0" applyFont="1" applyFill="1" applyBorder="1">
      <alignment vertical="center"/>
    </xf>
    <xf numFmtId="0" fontId="27" fillId="0" borderId="1" xfId="10" applyFont="1">
      <alignment horizontal="center" vertical="center"/>
    </xf>
    <xf numFmtId="0" fontId="23" fillId="0" borderId="0" xfId="0" applyFont="1" applyBorder="1" applyAlignment="1">
      <alignment vertical="center"/>
    </xf>
    <xf numFmtId="0" fontId="31" fillId="0" borderId="0" xfId="0" applyFont="1" applyFill="1" applyBorder="1" applyAlignment="1">
      <alignment horizontal="left" vertical="center"/>
    </xf>
    <xf numFmtId="0" fontId="27" fillId="0" borderId="0" xfId="17" applyFont="1">
      <alignment horizontal="center" vertical="center"/>
    </xf>
    <xf numFmtId="0" fontId="35" fillId="0" borderId="0" xfId="0" applyFont="1">
      <alignment vertical="center"/>
    </xf>
    <xf numFmtId="0" fontId="35" fillId="0" borderId="0" xfId="0" applyFont="1" applyBorder="1" applyAlignment="1">
      <alignment vertical="center"/>
    </xf>
    <xf numFmtId="177" fontId="34" fillId="0" borderId="0" xfId="18" applyFont="1">
      <alignment horizontal="center" vertical="center"/>
    </xf>
    <xf numFmtId="0" fontId="33" fillId="3" borderId="0" xfId="3" applyFont="1" applyBorder="1" applyAlignment="1">
      <alignment horizontal="center" vertical="center"/>
    </xf>
    <xf numFmtId="0" fontId="33" fillId="6" borderId="0" xfId="6" applyFont="1" applyBorder="1" applyAlignment="1">
      <alignment horizontal="center" vertical="center"/>
    </xf>
    <xf numFmtId="179" fontId="34" fillId="0" borderId="0" xfId="18" applyNumberFormat="1" applyFont="1">
      <alignment horizontal="center" vertical="center"/>
    </xf>
    <xf numFmtId="0" fontId="36" fillId="0" borderId="0" xfId="19" applyFont="1" applyFill="1">
      <alignment horizontal="center" vertical="center"/>
    </xf>
    <xf numFmtId="0" fontId="25" fillId="0" borderId="0" xfId="17" applyFont="1">
      <alignment horizontal="center" vertical="center"/>
    </xf>
    <xf numFmtId="0" fontId="33" fillId="5" borderId="0" xfId="5" applyFont="1" applyBorder="1" applyAlignment="1">
      <alignment horizontal="center" vertical="center"/>
    </xf>
    <xf numFmtId="0" fontId="33" fillId="4" borderId="0" xfId="4" applyFont="1" applyBorder="1" applyAlignment="1">
      <alignment horizontal="center" vertical="center"/>
    </xf>
    <xf numFmtId="0" fontId="26" fillId="2" borderId="3" xfId="7" applyFont="1">
      <alignment horizontal="left" vertical="center" wrapText="1" indent="1"/>
    </xf>
    <xf numFmtId="0" fontId="26" fillId="2" borderId="3" xfId="22" applyFont="1">
      <alignment horizontal="left" vertical="center" indent="1"/>
    </xf>
    <xf numFmtId="0" fontId="32" fillId="2" borderId="0" xfId="9" applyFont="1">
      <alignment horizontal="center" vertical="center"/>
    </xf>
    <xf numFmtId="0" fontId="25" fillId="0" borderId="0" xfId="17" applyFont="1" applyAlignment="1">
      <alignment horizontal="center" vertical="center"/>
    </xf>
    <xf numFmtId="0" fontId="36" fillId="0" borderId="0" xfId="19" applyFont="1">
      <alignment horizontal="center" vertical="center"/>
    </xf>
  </cellXfs>
  <cellStyles count="59">
    <cellStyle name="20% - 着色 1" xfId="39" builtinId="30" customBuiltin="1"/>
    <cellStyle name="20% - 着色 2" xfId="43" builtinId="34" customBuiltin="1"/>
    <cellStyle name="20% - 着色 3" xfId="46" builtinId="38" customBuiltin="1"/>
    <cellStyle name="20% - 着色 4" xfId="49" builtinId="42" customBuiltin="1"/>
    <cellStyle name="20% - 着色 5" xfId="52" builtinId="46" customBuiltin="1"/>
    <cellStyle name="20% - 着色 6" xfId="56" builtinId="50" customBuiltin="1"/>
    <cellStyle name="40% - 着色 1" xfId="40" builtinId="31" customBuiltin="1"/>
    <cellStyle name="40% - 着色 2" xfId="44" builtinId="35" customBuiltin="1"/>
    <cellStyle name="40% - 着色 3" xfId="47" builtinId="39" customBuiltin="1"/>
    <cellStyle name="40% - 着色 4" xfId="50" builtinId="43" customBuiltin="1"/>
    <cellStyle name="40% - 着色 5" xfId="53" builtinId="47" customBuiltin="1"/>
    <cellStyle name="40% - 着色 6" xfId="57" builtinId="51" customBuiltin="1"/>
    <cellStyle name="60% - 着色 1" xfId="41" builtinId="32" customBuiltin="1"/>
    <cellStyle name="60% - 着色 2" xfId="45" builtinId="36" customBuiltin="1"/>
    <cellStyle name="60% - 着色 3" xfId="48" builtinId="40" customBuiltin="1"/>
    <cellStyle name="60% - 着色 4" xfId="51" builtinId="44" customBuiltin="1"/>
    <cellStyle name="60% - 着色 5" xfId="54" builtinId="48" customBuiltin="1"/>
    <cellStyle name="60% - 着色 6" xfId="58" builtinId="52" customBuiltin="1"/>
    <cellStyle name="Days_On_Leave" xfId="9"/>
    <cellStyle name="Year_entry" xfId="22"/>
    <cellStyle name="百分比" xfId="27" builtinId="5" customBuiltin="1"/>
    <cellStyle name="标题" xfId="1" builtinId="15" customBuiltin="1"/>
    <cellStyle name="标题 1" xfId="16" builtinId="16" customBuiltin="1"/>
    <cellStyle name="标题 2" xfId="17" builtinId="17" customBuiltin="1"/>
    <cellStyle name="标题 3" xfId="18" builtinId="18" customBuiltin="1"/>
    <cellStyle name="标题 4" xfId="19" builtinId="19" customBuiltin="1"/>
    <cellStyle name="表格标题" xfId="12"/>
    <cellStyle name="表格日期" xfId="14"/>
    <cellStyle name="表格天数" xfId="13"/>
    <cellStyle name="表格详细信息" xfId="11"/>
    <cellStyle name="差" xfId="29" builtinId="27" customBuiltin="1"/>
    <cellStyle name="常规" xfId="0" builtinId="0" customBuiltin="1"/>
    <cellStyle name="超链接" xfId="15" builtinId="8" customBuiltin="1"/>
    <cellStyle name="好" xfId="28" builtinId="26" customBuiltin="1"/>
    <cellStyle name="汇总" xfId="38" builtinId="25" customBuiltin="1"/>
    <cellStyle name="货币" xfId="25" builtinId="4" customBuiltin="1"/>
    <cellStyle name="货币[0]" xfId="26" builtinId="7" customBuiltin="1"/>
    <cellStyle name="计算" xfId="33" builtinId="22" customBuiltin="1"/>
    <cellStyle name="检查单元格" xfId="34" builtinId="23" customBuiltin="1"/>
    <cellStyle name="解释性文本" xfId="37" builtinId="53" customBuiltin="1"/>
    <cellStyle name="警告文本" xfId="35" builtinId="11" customBuiltin="1"/>
    <cellStyle name="链接单元格" xfId="2" builtinId="24" customBuiltin="1"/>
    <cellStyle name="千位分隔" xfId="23" builtinId="3" customBuiltin="1"/>
    <cellStyle name="千位分隔[0]" xfId="24" builtinId="6" customBuiltin="1"/>
    <cellStyle name="适中" xfId="30" builtinId="28" customBuiltin="1"/>
    <cellStyle name="输出" xfId="32" builtinId="21" customBuiltin="1"/>
    <cellStyle name="输入" xfId="31" builtinId="20" customBuiltin="1"/>
    <cellStyle name="所选内容" xfId="7"/>
    <cellStyle name="天数" xfId="20"/>
    <cellStyle name="已访问的超链接" xfId="21" builtinId="9" customBuiltin="1"/>
    <cellStyle name="右边框" xfId="10"/>
    <cellStyle name="月" xfId="8"/>
    <cellStyle name="着色 1" xfId="3" builtinId="29" customBuiltin="1"/>
    <cellStyle name="着色 2" xfId="42" builtinId="33" customBuiltin="1"/>
    <cellStyle name="着色 3" xfId="4" builtinId="37" customBuiltin="1"/>
    <cellStyle name="着色 4" xfId="5" builtinId="41" customBuiltin="1"/>
    <cellStyle name="着色 5" xfId="6" builtinId="45" customBuiltin="1"/>
    <cellStyle name="着色 6" xfId="55" builtinId="49" customBuiltin="1"/>
    <cellStyle name="注释" xfId="36" builtinId="10" customBuiltin="1"/>
  </cellStyles>
  <dxfs count="78">
    <dxf>
      <font>
        <strike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76" formatCode="d"/>
    </dxf>
    <dxf>
      <font>
        <strike val="0"/>
        <outline val="0"/>
        <shadow val="0"/>
        <u val="none"/>
        <vertAlign val="baseline"/>
        <sz val="11"/>
        <color theme="3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8"/>
        </patternFill>
      </fill>
    </dxf>
    <dxf>
      <font>
        <color theme="3" tint="-0.24994659260841701"/>
      </font>
      <fill>
        <patternFill>
          <bgColor theme="4"/>
        </patternFill>
      </fill>
    </dxf>
    <dxf>
      <font>
        <b/>
        <i val="0"/>
        <color rgb="FF0070C0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0" tint="-0.14996795556505021"/>
      </font>
      <numFmt numFmtId="180" formatCode="[$-804]dddd\,\ mmmm\ d\,\ yyyy"/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right/>
        <vertical style="thin">
          <color theme="0"/>
        </vertical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ck">
          <color theme="3"/>
        </bottom>
        <vertical style="thin">
          <color theme="3" tint="0.39994506668294322"/>
        </vertical>
        <horizontal/>
      </border>
    </dxf>
  </dxfs>
  <tableStyles count="2" defaultTableStyle="考勤记录表样式">
    <tableStyle name="考勤记录表样式" pivot="0" count="5">
      <tableStyleElement type="wholeTable" dxfId="77"/>
      <tableStyleElement type="headerRow" dxfId="76"/>
      <tableStyleElement type="firstColumn" dxfId="75"/>
      <tableStyleElement type="firstRowStripe" dxfId="74"/>
      <tableStyleElement type="firstHeaderCell" dxfId="73"/>
    </tableStyle>
    <tableStyle name="休假报表" table="0" count="13">
      <tableStyleElement type="wholeTable" dxfId="72"/>
      <tableStyleElement type="headerRow" dxfId="71"/>
      <tableStyleElement type="totalRow" dxfId="70"/>
      <tableStyleElement type="firstRowStripe" dxfId="69"/>
      <tableStyleElement type="firstColumnStripe" dxfId="68"/>
      <tableStyleElement type="firstSubtotalColumn" dxfId="67"/>
      <tableStyleElement type="firstSubtotalRow" dxfId="66"/>
      <tableStyleElement type="secondSubtotalRow" dxfId="65"/>
      <tableStyleElement type="firstRowSubheading" dxfId="64"/>
      <tableStyleElement type="secondRowSubheading" dxfId="63"/>
      <tableStyleElement type="thirdRowSubheading" dxfId="62"/>
      <tableStyleElement type="pageFieldLabels" dxfId="61"/>
      <tableStyleElement type="pageFieldValues" dxfId="6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%20Vie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 View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AttendanceRecord" displayName="AttendanceRecord" ref="B5:AR17" totalsRowShown="0" headerRowDxfId="51" dataDxfId="50">
  <autoFilter ref="B5:AR1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</autoFilter>
  <tableColumns count="43">
    <tableColumn id="1" name="星期几/月" dataDxfId="49"/>
    <tableColumn id="6" name="日" dataDxfId="48">
      <calculatedColumnFormula>IFERROR(IF(TEXT(DATE(Calendar_Year,ROW($A1),1),"aaa")=LEFT(C$5,3),DATE(Calendar_Year,ROW($A1),1),""),"")</calculatedColumnFormula>
    </tableColumn>
    <tableColumn id="7" name="一" dataDxfId="47">
      <calculatedColumnFormula>IFERROR(IF(TEXT(DATE(Calendar_Year,ROW($A1),1),"aaa")=LEFT(D$5,3),DATE(Calendar_Year,ROW($A1),1),IF(C6&gt;=1,C6+1,"")),"")</calculatedColumnFormula>
    </tableColumn>
    <tableColumn id="8" name="二" dataDxfId="46">
      <calculatedColumnFormula>IFERROR(IF(TEXT(DATE(Calendar_Year,ROW($A1),1),"aaa")=LEFT(E$5,3),DATE(Calendar_Year,ROW($A1),1),IF(D6&gt;=1,D6+1,"")),"")</calculatedColumnFormula>
    </tableColumn>
    <tableColumn id="9" name="三" dataDxfId="45">
      <calculatedColumnFormula>IFERROR(IF(TEXT(DATE(Calendar_Year,ROW($A1),1),"aaa")=LEFT(F$5,3),DATE(Calendar_Year,ROW($A1),1),IF(E6&gt;=1,E6+1,"")),"")</calculatedColumnFormula>
    </tableColumn>
    <tableColumn id="10" name="四" dataDxfId="44">
      <calculatedColumnFormula>IFERROR(IF(TEXT(DATE(Calendar_Year,ROW($A1),1),"aaa")=LEFT(G$5,3),DATE(Calendar_Year,ROW($A1),1),IF(F6&gt;=1,F6+1,"")),"")</calculatedColumnFormula>
    </tableColumn>
    <tableColumn id="11" name="五" dataDxfId="43">
      <calculatedColumnFormula>IFERROR(IF(TEXT(DATE(Calendar_Year,ROW($A1),1),"aaa")=LEFT(H$5,3),DATE(Calendar_Year,ROW($A1),1),IF(G6&gt;=1,G6+1,"")),"")</calculatedColumnFormula>
    </tableColumn>
    <tableColumn id="12" name="六" dataDxfId="42">
      <calculatedColumnFormula>IFERROR(IF(TEXT(DATE(Calendar_Year,ROW($A1),1),"aaa")=LEFT(I$5,3),DATE(Calendar_Year,ROW($A1),1),IF(H6&gt;=1,H6+1,"")),"")</calculatedColumnFormula>
    </tableColumn>
    <tableColumn id="13" name="日   " dataDxfId="41">
      <calculatedColumnFormula>IFERROR(IF(I6&gt;=1,I6+1,""),"")</calculatedColumnFormula>
    </tableColumn>
    <tableColumn id="14" name="一   " dataDxfId="40">
      <calculatedColumnFormula>IFERROR(IF(J6&gt;=1,J6+1,""),"")</calculatedColumnFormula>
    </tableColumn>
    <tableColumn id="15" name="二   " dataDxfId="39">
      <calculatedColumnFormula>IFERROR(IF(K6&gt;=1,K6+1,""),"")</calculatedColumnFormula>
    </tableColumn>
    <tableColumn id="16" name="三   " dataDxfId="38">
      <calculatedColumnFormula>IFERROR(IF(L6&gt;=1,L6+1,""),"")</calculatedColumnFormula>
    </tableColumn>
    <tableColumn id="17" name="四   " dataDxfId="37">
      <calculatedColumnFormula>IFERROR(IF(M6&gt;=1,M6+1,""),"")</calculatedColumnFormula>
    </tableColumn>
    <tableColumn id="18" name="五   " dataDxfId="36">
      <calculatedColumnFormula>IFERROR(IF(N6&gt;=1,N6+1,""),"")</calculatedColumnFormula>
    </tableColumn>
    <tableColumn id="19" name="六   " dataDxfId="35">
      <calculatedColumnFormula>IFERROR(IF(O6&gt;=1,O6+1,""),"")</calculatedColumnFormula>
    </tableColumn>
    <tableColumn id="20" name="日    " dataDxfId="34">
      <calculatedColumnFormula>IFERROR(IF(P6&gt;=1,P6+1,""),"")</calculatedColumnFormula>
    </tableColumn>
    <tableColumn id="21" name="一    " dataDxfId="33">
      <calculatedColumnFormula>IFERROR(IF(Q6&gt;=1,Q6+1,""),"")</calculatedColumnFormula>
    </tableColumn>
    <tableColumn id="22" name="二    " dataDxfId="32">
      <calculatedColumnFormula>IFERROR(IF(R6&gt;=1,R6+1,""),"")</calculatedColumnFormula>
    </tableColumn>
    <tableColumn id="23" name="三    " dataDxfId="31">
      <calculatedColumnFormula>IFERROR(IF(S6&gt;=1,S6+1,""),"")</calculatedColumnFormula>
    </tableColumn>
    <tableColumn id="24" name="四    " dataDxfId="30">
      <calculatedColumnFormula>IFERROR(IF(T6&gt;=1,T6+1,""),"")</calculatedColumnFormula>
    </tableColumn>
    <tableColumn id="25" name="五    " dataDxfId="29">
      <calculatedColumnFormula>IFERROR(IF(U6&gt;=1,U6+1,""),"")</calculatedColumnFormula>
    </tableColumn>
    <tableColumn id="26" name="六    " dataDxfId="28">
      <calculatedColumnFormula>IFERROR(IF(V6&gt;=1,V6+1,""),"")</calculatedColumnFormula>
    </tableColumn>
    <tableColumn id="27" name="日     " dataDxfId="27">
      <calculatedColumnFormula>IFERROR(IF(W6&gt;=1,W6+1,""),"")</calculatedColumnFormula>
    </tableColumn>
    <tableColumn id="28" name="一     " dataDxfId="26">
      <calculatedColumnFormula>IFERROR(IF(X6&gt;=1,X6+1,""),"")</calculatedColumnFormula>
    </tableColumn>
    <tableColumn id="29" name="二     " dataDxfId="25">
      <calculatedColumnFormula>IFERROR(IF(Y6&gt;=1,Y6+1,""),"")</calculatedColumnFormula>
    </tableColumn>
    <tableColumn id="30" name="三     " dataDxfId="24">
      <calculatedColumnFormula>IFERROR(IF(Z6&gt;=1,Z6+1,""),"")</calculatedColumnFormula>
    </tableColumn>
    <tableColumn id="31" name="四  " dataDxfId="23">
      <calculatedColumnFormula>IFERROR(IF(AA6&gt;=1,AA6+1,""),"")</calculatedColumnFormula>
    </tableColumn>
    <tableColumn id="32" name="五     " dataDxfId="22">
      <calculatedColumnFormula>IFERROR(IF(AB6&gt;=1,AB6+1,""),"")</calculatedColumnFormula>
    </tableColumn>
    <tableColumn id="33" name="六     " dataDxfId="21">
      <calculatedColumnFormula>IFERROR(IF(AC6&gt;=1,AC6+1,""),"")</calculatedColumnFormula>
    </tableColumn>
    <tableColumn id="34" name="日 " dataDxfId="20">
      <calculatedColumnFormula>IFERROR(IF(AD6&gt;=1,AD6+1,""),"")</calculatedColumnFormula>
    </tableColumn>
    <tableColumn id="35" name="一 " dataDxfId="19">
      <calculatedColumnFormula>IFERROR(IF(AE6&gt;=1,AE6+1,""),"")</calculatedColumnFormula>
    </tableColumn>
    <tableColumn id="36" name="二 " dataDxfId="18">
      <calculatedColumnFormula>IFERROR(IF(AF6&gt;=1,AF6+1,""),"")</calculatedColumnFormula>
    </tableColumn>
    <tableColumn id="37" name="三 " dataDxfId="17">
      <calculatedColumnFormula>IFERROR(IF(AG6&gt;=1,AG6+1,""),"")</calculatedColumnFormula>
    </tableColumn>
    <tableColumn id="38" name="四 " dataDxfId="16">
      <calculatedColumnFormula>IFERROR(IF(AH6&gt;=1,AH6+1,""),"")</calculatedColumnFormula>
    </tableColumn>
    <tableColumn id="39" name="五 " dataDxfId="15">
      <calculatedColumnFormula>IFERROR(IF(AI6&gt;=1,AI6+1,""),"")</calculatedColumnFormula>
    </tableColumn>
    <tableColumn id="40" name="六 " dataDxfId="14">
      <calculatedColumnFormula>IFERROR(IF(AJ6&gt;=1,AJ6+1,""),"")</calculatedColumnFormula>
    </tableColumn>
    <tableColumn id="41" name="日  " dataDxfId="13">
      <calculatedColumnFormula>IFERROR(IF(AND(AK6&gt;=1,AK6+1&lt;=DATE(Calendar_Year,ROW($A1)+1,0)),AK6+1,""),"")</calculatedColumnFormula>
    </tableColumn>
    <tableColumn id="42" name="一  " dataDxfId="12">
      <calculatedColumnFormula>IFERROR(IF(AND(AL6&gt;=1,AL6+1&lt;=DATE(Calendar_Year,ROW($A1)+1,0)),AL6+1,""),"")</calculatedColumnFormula>
    </tableColumn>
    <tableColumn id="43" name="二  " dataDxfId="11">
      <calculatedColumnFormula>IFERROR(IF(AND(AM6&gt;=1,AM6+1&lt;=DATE(Calendar_Year,ROW($A1)+1,0)),AM6+1,""),"")</calculatedColumnFormula>
    </tableColumn>
    <tableColumn id="44" name="三  " dataDxfId="10">
      <calculatedColumnFormula>IFERROR(IF(AND(AN6&gt;=1,AN6+1&lt;=DATE(Calendar_Year,ROW($A1)+1,0)),AN6+1,""),"")</calculatedColumnFormula>
    </tableColumn>
    <tableColumn id="45" name="四        " dataDxfId="9">
      <calculatedColumnFormula>IFERROR(IF(AND(AO6&gt;=1,AO6+1&lt;=DATE(Calendar_Year,ROW($A1)+1,0)),AO6+1,""),"")</calculatedColumnFormula>
    </tableColumn>
    <tableColumn id="46" name="五  " dataDxfId="8">
      <calculatedColumnFormula>IFERROR(IF(AND(AP6&gt;=1,AP6+1&lt;=DATE(Calendar_Year,ROW($A1)+1,0)),AP6+1,""),"")</calculatedColumnFormula>
    </tableColumn>
    <tableColumn id="47" name="六  " dataDxfId="7">
      <calculatedColumnFormula>IFERROR(IF(AND(AQ6&gt;=1,AQ6+1&lt;=DATE(Calendar_Year,ROW($A1)+1,0)),AQ6+1,""),"")</calculatedColumnFormula>
    </tableColumn>
  </tableColumns>
  <tableStyleInfo name="考勤记录表样式" showFirstColumn="0" showLastColumn="0" showRowStripes="1" showColumnStripes="0"/>
  <extLst>
    <ext xmlns:x14="http://schemas.microsoft.com/office/spreadsheetml/2009/9/main" uri="{504A1905-F514-4f6f-8877-14C23A59335A}">
      <x14:table altTextSummary="此表格概括了某个员工的考勤记录。B 列为每年的月份，该月份对应的行显示当月每天的缺勤情况"/>
    </ext>
  </extLst>
</table>
</file>

<file path=xl/tables/table2.xml><?xml version="1.0" encoding="utf-8"?>
<table xmlns="http://schemas.openxmlformats.org/spreadsheetml/2006/main" id="1" name="LeaveTracker" displayName="LeaveTracker" ref="B3:F26" headerRowDxfId="6" dataDxfId="5" totalsRowDxfId="4">
  <autoFilter ref="B3:F26"/>
  <tableColumns count="5">
    <tableColumn id="1" name="员工姓名" totalsRowLabel="Total" dataCellStyle="表格详细信息"/>
    <tableColumn id="2" name="开始日期" dataCellStyle="表格日期"/>
    <tableColumn id="3" name="结束日期" dataCellStyle="表格日期"/>
    <tableColumn id="4" name="休假类型" dataCellStyle="表格详细信息"/>
    <tableColumn id="5" name="天数" totalsRowFunction="sum" dataCellStyle="表格天数">
      <calculatedColumnFormula>NETWORKDAYS(LeaveTracker[[#This Row],[开始日期]],LeaveTracker[[#This Row],[结束日期]],lstHolidays)</calculatedColumnFormula>
    </tableColumn>
  </tableColumns>
  <tableStyleInfo name="考勤记录表样式" showFirstColumn="1" showLastColumn="0" showRowStripes="1" showColumnStripes="0"/>
  <extLst>
    <ext xmlns:x14="http://schemas.microsoft.com/office/spreadsheetml/2009/9/main" uri="{504A1905-F514-4f6f-8877-14C23A59335A}">
      <x14:table altTextSummary="在此表格中记录员工休假情况。添加开始日期、结束日期、休假类型以及天数"/>
    </ext>
  </extLst>
</table>
</file>

<file path=xl/tables/table3.xml><?xml version="1.0" encoding="utf-8"?>
<table xmlns="http://schemas.openxmlformats.org/spreadsheetml/2006/main" id="4" name="员工" displayName="员工" ref="B3:B8" totalsRowShown="0" headerRowDxfId="3" dataCellStyle="表格详细信息">
  <sortState ref="B3:B25">
    <sortCondition ref="B2:B25"/>
  </sortState>
  <tableColumns count="1">
    <tableColumn id="1" name="员工姓名" dataCellStyle="表格详细信息"/>
  </tableColumns>
  <tableStyleInfo name="考勤记录表样式" showFirstColumn="0" showLastColumn="0" showRowStripes="1" showColumnStripes="0"/>
  <extLst>
    <ext xmlns:x14="http://schemas.microsoft.com/office/spreadsheetml/2009/9/main" uri="{504A1905-F514-4f6f-8877-14C23A59335A}">
      <x14:table altTextSummary="员工姓名列表"/>
    </ext>
  </extLst>
</table>
</file>

<file path=xl/tables/table4.xml><?xml version="1.0" encoding="utf-8"?>
<table xmlns="http://schemas.openxmlformats.org/spreadsheetml/2006/main" id="5" name="休假类型" displayName="休假类型" ref="B3:B7" totalsRowShown="0" headerRowDxfId="2" dataCellStyle="表格详细信息">
  <tableColumns count="1">
    <tableColumn id="1" name="休假类型列表" dataCellStyle="表格详细信息"/>
  </tableColumns>
  <tableStyleInfo name="考勤记录表样式" showFirstColumn="0" showLastColumn="0" showRowStripes="1" showColumnStripes="0"/>
  <extLst>
    <ext xmlns:x14="http://schemas.microsoft.com/office/spreadsheetml/2009/9/main" uri="{504A1905-F514-4f6f-8877-14C23A59335A}">
      <x14:table altTextSummary="休假类型列表 - 病假、假期、丧假和其他类型"/>
    </ext>
  </extLst>
</table>
</file>

<file path=xl/tables/table5.xml><?xml version="1.0" encoding="utf-8"?>
<table xmlns="http://schemas.openxmlformats.org/spreadsheetml/2006/main" id="9" name="公司假期" displayName="公司假期" ref="B3:C9" totalsRowShown="0" headerRowDxfId="1" dataDxfId="0">
  <tableColumns count="2">
    <tableColumn id="1" name="公司假期" dataCellStyle="表格日期"/>
    <tableColumn id="2" name="说明" dataCellStyle="表格详细信息"/>
  </tableColumns>
  <tableStyleInfo name="考勤记录表样式" showFirstColumn="0" showLastColumn="0" showRowStripes="1" showColumnStripes="0"/>
  <extLst>
    <ext xmlns:x14="http://schemas.microsoft.com/office/spreadsheetml/2009/9/main" uri="{504A1905-F514-4f6f-8877-14C23A59335A}">
      <x14:table altTextSummary="公司假期列表（含说明）"/>
    </ext>
  </extLst>
</table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  <pageSetUpPr fitToPage="1"/>
  </sheetPr>
  <dimension ref="A1:AR22"/>
  <sheetViews>
    <sheetView showGridLines="0" tabSelected="1" zoomScaleNormal="100" workbookViewId="0"/>
  </sheetViews>
  <sheetFormatPr defaultRowHeight="16.5" x14ac:dyDescent="0.3"/>
  <cols>
    <col min="1" max="1" width="2.77734375" style="7" customWidth="1"/>
    <col min="2" max="2" width="20.44140625" style="7" customWidth="1"/>
    <col min="3" max="3" width="6.44140625" style="7" customWidth="1"/>
    <col min="4" max="44" width="4.77734375" style="7" customWidth="1"/>
    <col min="45" max="45" width="2.77734375" style="7" customWidth="1"/>
    <col min="46" max="16384" width="8.88671875" style="7"/>
  </cols>
  <sheetData>
    <row r="1" spans="1:44" ht="39.950000000000003" customHeight="1" thickBot="1" x14ac:dyDescent="0.35">
      <c r="B1" s="8" t="s">
        <v>0</v>
      </c>
    </row>
    <row r="2" spans="1:44" ht="21.75" customHeight="1" thickTop="1" thickBot="1" x14ac:dyDescent="0.2">
      <c r="B2" s="9" t="s">
        <v>1</v>
      </c>
      <c r="C2" s="33" t="s">
        <v>17</v>
      </c>
      <c r="D2" s="33"/>
      <c r="E2" s="33"/>
      <c r="F2" s="33"/>
      <c r="G2" s="33"/>
      <c r="H2" s="33"/>
      <c r="I2" s="33"/>
      <c r="J2" s="10"/>
      <c r="U2" s="11"/>
      <c r="V2" s="11"/>
      <c r="W2" s="11"/>
      <c r="X2" s="11"/>
      <c r="Y2" s="11"/>
      <c r="Z2" s="11"/>
      <c r="AA2" s="11"/>
      <c r="AB2" s="11"/>
      <c r="AC2" s="12"/>
    </row>
    <row r="3" spans="1:44" ht="21.95" customHeight="1" thickTop="1" thickBot="1" x14ac:dyDescent="0.2">
      <c r="B3" s="9" t="s">
        <v>2</v>
      </c>
      <c r="C3" s="34">
        <f ca="1">YEAR(TODAY())</f>
        <v>2017</v>
      </c>
      <c r="D3" s="34"/>
      <c r="E3" s="34"/>
      <c r="F3" s="34"/>
      <c r="G3" s="34"/>
      <c r="H3" s="34"/>
      <c r="I3" s="34"/>
      <c r="J3" s="10"/>
      <c r="U3" s="11"/>
      <c r="V3" s="11"/>
      <c r="W3" s="11"/>
      <c r="X3" s="11"/>
      <c r="Y3" s="11"/>
      <c r="Z3" s="11"/>
      <c r="AA3" s="11"/>
      <c r="AB3" s="11"/>
      <c r="AC3" s="12"/>
    </row>
    <row r="4" spans="1:44" ht="15" customHeight="1" thickTop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x14ac:dyDescent="0.3">
      <c r="B5" s="7" t="s">
        <v>3</v>
      </c>
      <c r="C5" s="7" t="s">
        <v>34</v>
      </c>
      <c r="D5" s="7" t="s">
        <v>35</v>
      </c>
      <c r="E5" s="7" t="s">
        <v>36</v>
      </c>
      <c r="F5" s="7" t="s">
        <v>37</v>
      </c>
      <c r="G5" s="7" t="s">
        <v>38</v>
      </c>
      <c r="H5" s="7" t="s">
        <v>39</v>
      </c>
      <c r="I5" s="7" t="s">
        <v>40</v>
      </c>
      <c r="J5" s="7" t="s">
        <v>73</v>
      </c>
      <c r="K5" s="7" t="s">
        <v>74</v>
      </c>
      <c r="L5" s="7" t="s">
        <v>41</v>
      </c>
      <c r="M5" s="7" t="s">
        <v>42</v>
      </c>
      <c r="N5" s="7" t="s">
        <v>43</v>
      </c>
      <c r="O5" s="7" t="s">
        <v>44</v>
      </c>
      <c r="P5" s="7" t="s">
        <v>45</v>
      </c>
      <c r="Q5" s="7" t="s">
        <v>46</v>
      </c>
      <c r="R5" s="7" t="s">
        <v>47</v>
      </c>
      <c r="S5" s="7" t="s">
        <v>48</v>
      </c>
      <c r="T5" s="7" t="s">
        <v>49</v>
      </c>
      <c r="U5" s="7" t="s">
        <v>50</v>
      </c>
      <c r="V5" s="7" t="s">
        <v>51</v>
      </c>
      <c r="W5" s="7" t="s">
        <v>52</v>
      </c>
      <c r="X5" s="7" t="s">
        <v>53</v>
      </c>
      <c r="Y5" s="7" t="s">
        <v>54</v>
      </c>
      <c r="Z5" s="7" t="s">
        <v>55</v>
      </c>
      <c r="AA5" s="7" t="s">
        <v>56</v>
      </c>
      <c r="AB5" s="7" t="s">
        <v>57</v>
      </c>
      <c r="AC5" s="7" t="s">
        <v>58</v>
      </c>
      <c r="AD5" s="7" t="s">
        <v>59</v>
      </c>
      <c r="AE5" s="7" t="s">
        <v>60</v>
      </c>
      <c r="AF5" s="7" t="s">
        <v>61</v>
      </c>
      <c r="AG5" s="7" t="s">
        <v>62</v>
      </c>
      <c r="AH5" s="7" t="s">
        <v>63</v>
      </c>
      <c r="AI5" s="7" t="s">
        <v>64</v>
      </c>
      <c r="AJ5" s="7" t="s">
        <v>65</v>
      </c>
      <c r="AK5" s="7" t="s">
        <v>66</v>
      </c>
      <c r="AL5" s="7" t="s">
        <v>67</v>
      </c>
      <c r="AM5" s="7" t="s">
        <v>68</v>
      </c>
      <c r="AN5" s="7" t="s">
        <v>69</v>
      </c>
      <c r="AO5" s="7" t="s">
        <v>70</v>
      </c>
      <c r="AP5" s="7" t="s">
        <v>75</v>
      </c>
      <c r="AQ5" s="7" t="s">
        <v>71</v>
      </c>
      <c r="AR5" s="7" t="s">
        <v>72</v>
      </c>
    </row>
    <row r="6" spans="1:44" ht="18.75" customHeight="1" x14ac:dyDescent="0.3">
      <c r="B6" s="13" t="s">
        <v>4</v>
      </c>
      <c r="C6" s="14">
        <f t="shared" ref="C6:C16" ca="1" si="0">IFERROR(IF(TEXT(DATE(Calendar_Year,ROW($A1),1),"aaa")=LEFT(C$5,3),DATE(Calendar_Year,ROW($A1),1),""),"")</f>
        <v>42736</v>
      </c>
      <c r="D6" s="14">
        <f t="shared" ref="D6:I16" ca="1" si="1">IFERROR(IF(TEXT(DATE(Calendar_Year,ROW($A1),1),"aaa")=LEFT(D$5,3),DATE(Calendar_Year,ROW($A1),1),IF(C6&gt;=1,C6+1,"")),"")</f>
        <v>42737</v>
      </c>
      <c r="E6" s="14">
        <f t="shared" ca="1" si="1"/>
        <v>42738</v>
      </c>
      <c r="F6" s="14">
        <f t="shared" ca="1" si="1"/>
        <v>42739</v>
      </c>
      <c r="G6" s="14">
        <f t="shared" ca="1" si="1"/>
        <v>42740</v>
      </c>
      <c r="H6" s="14">
        <f t="shared" ca="1" si="1"/>
        <v>42741</v>
      </c>
      <c r="I6" s="14">
        <f t="shared" ca="1" si="1"/>
        <v>42742</v>
      </c>
      <c r="J6" s="14">
        <f t="shared" ref="J6:J17" ca="1" si="2">IFERROR(IF(I6&gt;=1,I6+1,""),"")</f>
        <v>42743</v>
      </c>
      <c r="K6" s="14">
        <f t="shared" ref="K6:K17" ca="1" si="3">IFERROR(IF(J6&gt;=1,J6+1,""),"")</f>
        <v>42744</v>
      </c>
      <c r="L6" s="14">
        <f t="shared" ref="L6:L17" ca="1" si="4">IFERROR(IF(K6&gt;=1,K6+1,""),"")</f>
        <v>42745</v>
      </c>
      <c r="M6" s="14">
        <f t="shared" ref="M6:M17" ca="1" si="5">IFERROR(IF(L6&gt;=1,L6+1,""),"")</f>
        <v>42746</v>
      </c>
      <c r="N6" s="14">
        <f t="shared" ref="N6:N17" ca="1" si="6">IFERROR(IF(M6&gt;=1,M6+1,""),"")</f>
        <v>42747</v>
      </c>
      <c r="O6" s="14">
        <f t="shared" ref="O6:O17" ca="1" si="7">IFERROR(IF(N6&gt;=1,N6+1,""),"")</f>
        <v>42748</v>
      </c>
      <c r="P6" s="14">
        <f t="shared" ref="P6:P17" ca="1" si="8">IFERROR(IF(O6&gt;=1,O6+1,""),"")</f>
        <v>42749</v>
      </c>
      <c r="Q6" s="14">
        <f t="shared" ref="Q6:Q17" ca="1" si="9">IFERROR(IF(P6&gt;=1,P6+1,""),"")</f>
        <v>42750</v>
      </c>
      <c r="R6" s="14">
        <f t="shared" ref="R6:R17" ca="1" si="10">IFERROR(IF(Q6&gt;=1,Q6+1,""),"")</f>
        <v>42751</v>
      </c>
      <c r="S6" s="14">
        <f t="shared" ref="S6:S17" ca="1" si="11">IFERROR(IF(R6&gt;=1,R6+1,""),"")</f>
        <v>42752</v>
      </c>
      <c r="T6" s="14">
        <f t="shared" ref="T6:T17" ca="1" si="12">IFERROR(IF(S6&gt;=1,S6+1,""),"")</f>
        <v>42753</v>
      </c>
      <c r="U6" s="14">
        <f t="shared" ref="U6:U17" ca="1" si="13">IFERROR(IF(T6&gt;=1,T6+1,""),"")</f>
        <v>42754</v>
      </c>
      <c r="V6" s="14">
        <f t="shared" ref="V6:V17" ca="1" si="14">IFERROR(IF(U6&gt;=1,U6+1,""),"")</f>
        <v>42755</v>
      </c>
      <c r="W6" s="14">
        <f t="shared" ref="W6:W17" ca="1" si="15">IFERROR(IF(V6&gt;=1,V6+1,""),"")</f>
        <v>42756</v>
      </c>
      <c r="X6" s="14">
        <f t="shared" ref="X6:X17" ca="1" si="16">IFERROR(IF(W6&gt;=1,W6+1,""),"")</f>
        <v>42757</v>
      </c>
      <c r="Y6" s="14">
        <f t="shared" ref="Y6:Y17" ca="1" si="17">IFERROR(IF(X6&gt;=1,X6+1,""),"")</f>
        <v>42758</v>
      </c>
      <c r="Z6" s="14">
        <f t="shared" ref="Z6:Z17" ca="1" si="18">IFERROR(IF(Y6&gt;=1,Y6+1,""),"")</f>
        <v>42759</v>
      </c>
      <c r="AA6" s="14">
        <f t="shared" ref="AA6:AA17" ca="1" si="19">IFERROR(IF(Z6&gt;=1,Z6+1,""),"")</f>
        <v>42760</v>
      </c>
      <c r="AB6" s="14">
        <f t="shared" ref="AB6:AB17" ca="1" si="20">IFERROR(IF(AA6&gt;=1,AA6+1,""),"")</f>
        <v>42761</v>
      </c>
      <c r="AC6" s="14">
        <f t="shared" ref="AC6:AC17" ca="1" si="21">IFERROR(IF(AB6&gt;=1,AB6+1,""),"")</f>
        <v>42762</v>
      </c>
      <c r="AD6" s="14">
        <f t="shared" ref="AD6:AD17" ca="1" si="22">IFERROR(IF(AC6&gt;=1,AC6+1,""),"")</f>
        <v>42763</v>
      </c>
      <c r="AE6" s="14">
        <f t="shared" ref="AE6:AE17" ca="1" si="23">IFERROR(IF(AD6&gt;=1,AD6+1,""),"")</f>
        <v>42764</v>
      </c>
      <c r="AF6" s="14">
        <f t="shared" ref="AF6:AF17" ca="1" si="24">IFERROR(IF(AE6&gt;=1,AE6+1,""),"")</f>
        <v>42765</v>
      </c>
      <c r="AG6" s="14">
        <f t="shared" ref="AG6:AG17" ca="1" si="25">IFERROR(IF(AF6&gt;=1,AF6+1,""),"")</f>
        <v>42766</v>
      </c>
      <c r="AH6" s="14">
        <f t="shared" ref="AH6:AH17" ca="1" si="26">IFERROR(IF(AG6&gt;=1,AG6+1,""),"")</f>
        <v>42767</v>
      </c>
      <c r="AI6" s="14">
        <f t="shared" ref="AI6:AI17" ca="1" si="27">IFERROR(IF(AH6&gt;=1,AH6+1,""),"")</f>
        <v>42768</v>
      </c>
      <c r="AJ6" s="14">
        <f t="shared" ref="AJ6:AJ17" ca="1" si="28">IFERROR(IF(AI6&gt;=1,AI6+1,""),"")</f>
        <v>42769</v>
      </c>
      <c r="AK6" s="14">
        <f t="shared" ref="AK6:AK17" ca="1" si="29">IFERROR(IF(AJ6&gt;=1,AJ6+1,""),"")</f>
        <v>42770</v>
      </c>
      <c r="AL6" s="14" t="str">
        <f t="shared" ref="AL6:AR16" ca="1" si="30">IFERROR(IF(AND(AK6&gt;=1,AK6+1&lt;=DATE(Calendar_Year,ROW($A1)+1,0)),AK6+1,""),"")</f>
        <v/>
      </c>
      <c r="AM6" s="14" t="str">
        <f t="shared" ca="1" si="30"/>
        <v/>
      </c>
      <c r="AN6" s="14" t="str">
        <f t="shared" ca="1" si="30"/>
        <v/>
      </c>
      <c r="AO6" s="14" t="str">
        <f t="shared" ca="1" si="30"/>
        <v/>
      </c>
      <c r="AP6" s="14" t="str">
        <f t="shared" ca="1" si="30"/>
        <v/>
      </c>
      <c r="AQ6" s="14" t="str">
        <f t="shared" ca="1" si="30"/>
        <v/>
      </c>
      <c r="AR6" s="14" t="str">
        <f t="shared" ca="1" si="30"/>
        <v/>
      </c>
    </row>
    <row r="7" spans="1:44" ht="18.75" customHeight="1" x14ac:dyDescent="0.3">
      <c r="B7" s="13" t="s">
        <v>5</v>
      </c>
      <c r="C7" s="14" t="str">
        <f t="shared" ca="1" si="0"/>
        <v/>
      </c>
      <c r="D7" s="14" t="str">
        <f t="shared" ca="1" si="1"/>
        <v/>
      </c>
      <c r="E7" s="14" t="str">
        <f t="shared" ca="1" si="1"/>
        <v/>
      </c>
      <c r="F7" s="14">
        <f t="shared" ca="1" si="1"/>
        <v>42767</v>
      </c>
      <c r="G7" s="14">
        <f t="shared" ca="1" si="1"/>
        <v>42768</v>
      </c>
      <c r="H7" s="14">
        <f t="shared" ca="1" si="1"/>
        <v>42769</v>
      </c>
      <c r="I7" s="14">
        <f t="shared" ca="1" si="1"/>
        <v>42770</v>
      </c>
      <c r="J7" s="14">
        <f t="shared" ca="1" si="2"/>
        <v>42771</v>
      </c>
      <c r="K7" s="14">
        <f t="shared" ca="1" si="3"/>
        <v>42772</v>
      </c>
      <c r="L7" s="14">
        <f t="shared" ca="1" si="4"/>
        <v>42773</v>
      </c>
      <c r="M7" s="14">
        <f t="shared" ca="1" si="5"/>
        <v>42774</v>
      </c>
      <c r="N7" s="14">
        <f t="shared" ca="1" si="6"/>
        <v>42775</v>
      </c>
      <c r="O7" s="14">
        <f t="shared" ca="1" si="7"/>
        <v>42776</v>
      </c>
      <c r="P7" s="14">
        <f t="shared" ca="1" si="8"/>
        <v>42777</v>
      </c>
      <c r="Q7" s="14">
        <f t="shared" ca="1" si="9"/>
        <v>42778</v>
      </c>
      <c r="R7" s="14">
        <f t="shared" ca="1" si="10"/>
        <v>42779</v>
      </c>
      <c r="S7" s="14">
        <f t="shared" ca="1" si="11"/>
        <v>42780</v>
      </c>
      <c r="T7" s="14">
        <f t="shared" ca="1" si="12"/>
        <v>42781</v>
      </c>
      <c r="U7" s="14">
        <f t="shared" ca="1" si="13"/>
        <v>42782</v>
      </c>
      <c r="V7" s="14">
        <f t="shared" ca="1" si="14"/>
        <v>42783</v>
      </c>
      <c r="W7" s="14">
        <f t="shared" ca="1" si="15"/>
        <v>42784</v>
      </c>
      <c r="X7" s="14">
        <f t="shared" ca="1" si="16"/>
        <v>42785</v>
      </c>
      <c r="Y7" s="14">
        <f t="shared" ca="1" si="17"/>
        <v>42786</v>
      </c>
      <c r="Z7" s="14">
        <f t="shared" ca="1" si="18"/>
        <v>42787</v>
      </c>
      <c r="AA7" s="14">
        <f t="shared" ca="1" si="19"/>
        <v>42788</v>
      </c>
      <c r="AB7" s="14">
        <f t="shared" ca="1" si="20"/>
        <v>42789</v>
      </c>
      <c r="AC7" s="14">
        <f t="shared" ca="1" si="21"/>
        <v>42790</v>
      </c>
      <c r="AD7" s="14">
        <f t="shared" ca="1" si="22"/>
        <v>42791</v>
      </c>
      <c r="AE7" s="14">
        <f t="shared" ca="1" si="23"/>
        <v>42792</v>
      </c>
      <c r="AF7" s="14">
        <f t="shared" ca="1" si="24"/>
        <v>42793</v>
      </c>
      <c r="AG7" s="14">
        <f t="shared" ca="1" si="25"/>
        <v>42794</v>
      </c>
      <c r="AH7" s="14">
        <f t="shared" ca="1" si="26"/>
        <v>42795</v>
      </c>
      <c r="AI7" s="14">
        <f t="shared" ca="1" si="27"/>
        <v>42796</v>
      </c>
      <c r="AJ7" s="14">
        <f t="shared" ca="1" si="28"/>
        <v>42797</v>
      </c>
      <c r="AK7" s="14">
        <f t="shared" ca="1" si="29"/>
        <v>42798</v>
      </c>
      <c r="AL7" s="14" t="str">
        <f t="shared" ca="1" si="30"/>
        <v/>
      </c>
      <c r="AM7" s="14" t="str">
        <f t="shared" ca="1" si="30"/>
        <v/>
      </c>
      <c r="AN7" s="14" t="str">
        <f t="shared" ca="1" si="30"/>
        <v/>
      </c>
      <c r="AO7" s="14" t="str">
        <f t="shared" ca="1" si="30"/>
        <v/>
      </c>
      <c r="AP7" s="14" t="str">
        <f t="shared" ca="1" si="30"/>
        <v/>
      </c>
      <c r="AQ7" s="14" t="str">
        <f t="shared" ca="1" si="30"/>
        <v/>
      </c>
      <c r="AR7" s="14" t="str">
        <f t="shared" ca="1" si="30"/>
        <v/>
      </c>
    </row>
    <row r="8" spans="1:44" ht="18.75" customHeight="1" x14ac:dyDescent="0.3">
      <c r="A8" s="15"/>
      <c r="B8" s="13" t="s">
        <v>6</v>
      </c>
      <c r="C8" s="14" t="str">
        <f t="shared" ca="1" si="0"/>
        <v/>
      </c>
      <c r="D8" s="14" t="str">
        <f t="shared" ca="1" si="1"/>
        <v/>
      </c>
      <c r="E8" s="14" t="str">
        <f t="shared" ca="1" si="1"/>
        <v/>
      </c>
      <c r="F8" s="14">
        <f t="shared" ca="1" si="1"/>
        <v>42795</v>
      </c>
      <c r="G8" s="14">
        <f t="shared" ca="1" si="1"/>
        <v>42796</v>
      </c>
      <c r="H8" s="14">
        <f t="shared" ca="1" si="1"/>
        <v>42797</v>
      </c>
      <c r="I8" s="14">
        <f t="shared" ca="1" si="1"/>
        <v>42798</v>
      </c>
      <c r="J8" s="14">
        <f t="shared" ca="1" si="2"/>
        <v>42799</v>
      </c>
      <c r="K8" s="14">
        <f t="shared" ca="1" si="3"/>
        <v>42800</v>
      </c>
      <c r="L8" s="14">
        <f t="shared" ca="1" si="4"/>
        <v>42801</v>
      </c>
      <c r="M8" s="14">
        <f t="shared" ca="1" si="5"/>
        <v>42802</v>
      </c>
      <c r="N8" s="14">
        <f t="shared" ca="1" si="6"/>
        <v>42803</v>
      </c>
      <c r="O8" s="14">
        <f t="shared" ca="1" si="7"/>
        <v>42804</v>
      </c>
      <c r="P8" s="14">
        <f t="shared" ca="1" si="8"/>
        <v>42805</v>
      </c>
      <c r="Q8" s="14">
        <f t="shared" ca="1" si="9"/>
        <v>42806</v>
      </c>
      <c r="R8" s="14">
        <f t="shared" ca="1" si="10"/>
        <v>42807</v>
      </c>
      <c r="S8" s="14">
        <f t="shared" ca="1" si="11"/>
        <v>42808</v>
      </c>
      <c r="T8" s="14">
        <f t="shared" ca="1" si="12"/>
        <v>42809</v>
      </c>
      <c r="U8" s="14">
        <f t="shared" ca="1" si="13"/>
        <v>42810</v>
      </c>
      <c r="V8" s="14">
        <f t="shared" ca="1" si="14"/>
        <v>42811</v>
      </c>
      <c r="W8" s="14">
        <f t="shared" ca="1" si="15"/>
        <v>42812</v>
      </c>
      <c r="X8" s="14">
        <f t="shared" ca="1" si="16"/>
        <v>42813</v>
      </c>
      <c r="Y8" s="14">
        <f t="shared" ca="1" si="17"/>
        <v>42814</v>
      </c>
      <c r="Z8" s="14">
        <f t="shared" ca="1" si="18"/>
        <v>42815</v>
      </c>
      <c r="AA8" s="14">
        <f t="shared" ca="1" si="19"/>
        <v>42816</v>
      </c>
      <c r="AB8" s="14">
        <f t="shared" ca="1" si="20"/>
        <v>42817</v>
      </c>
      <c r="AC8" s="14">
        <f t="shared" ca="1" si="21"/>
        <v>42818</v>
      </c>
      <c r="AD8" s="14">
        <f t="shared" ca="1" si="22"/>
        <v>42819</v>
      </c>
      <c r="AE8" s="14">
        <f t="shared" ca="1" si="23"/>
        <v>42820</v>
      </c>
      <c r="AF8" s="14">
        <f t="shared" ca="1" si="24"/>
        <v>42821</v>
      </c>
      <c r="AG8" s="14">
        <f t="shared" ca="1" si="25"/>
        <v>42822</v>
      </c>
      <c r="AH8" s="14">
        <f t="shared" ca="1" si="26"/>
        <v>42823</v>
      </c>
      <c r="AI8" s="14">
        <f t="shared" ca="1" si="27"/>
        <v>42824</v>
      </c>
      <c r="AJ8" s="14">
        <f t="shared" ca="1" si="28"/>
        <v>42825</v>
      </c>
      <c r="AK8" s="14">
        <f t="shared" ca="1" si="29"/>
        <v>42826</v>
      </c>
      <c r="AL8" s="14" t="str">
        <f t="shared" ca="1" si="30"/>
        <v/>
      </c>
      <c r="AM8" s="14" t="str">
        <f t="shared" ca="1" si="30"/>
        <v/>
      </c>
      <c r="AN8" s="14" t="str">
        <f t="shared" ca="1" si="30"/>
        <v/>
      </c>
      <c r="AO8" s="14" t="str">
        <f t="shared" ca="1" si="30"/>
        <v/>
      </c>
      <c r="AP8" s="14" t="str">
        <f t="shared" ca="1" si="30"/>
        <v/>
      </c>
      <c r="AQ8" s="14" t="str">
        <f t="shared" ca="1" si="30"/>
        <v/>
      </c>
      <c r="AR8" s="14" t="str">
        <f t="shared" ca="1" si="30"/>
        <v/>
      </c>
    </row>
    <row r="9" spans="1:44" ht="18.75" customHeight="1" x14ac:dyDescent="0.3">
      <c r="B9" s="13" t="s">
        <v>7</v>
      </c>
      <c r="C9" s="14" t="str">
        <f t="shared" ca="1" si="0"/>
        <v/>
      </c>
      <c r="D9" s="14" t="str">
        <f t="shared" ca="1" si="1"/>
        <v/>
      </c>
      <c r="E9" s="14" t="str">
        <f t="shared" ca="1" si="1"/>
        <v/>
      </c>
      <c r="F9" s="14" t="str">
        <f t="shared" ca="1" si="1"/>
        <v/>
      </c>
      <c r="G9" s="14" t="str">
        <f t="shared" ca="1" si="1"/>
        <v/>
      </c>
      <c r="H9" s="14" t="str">
        <f t="shared" ca="1" si="1"/>
        <v/>
      </c>
      <c r="I9" s="14">
        <f t="shared" ca="1" si="1"/>
        <v>42826</v>
      </c>
      <c r="J9" s="14">
        <f t="shared" ca="1" si="2"/>
        <v>42827</v>
      </c>
      <c r="K9" s="14">
        <f t="shared" ca="1" si="3"/>
        <v>42828</v>
      </c>
      <c r="L9" s="14">
        <f t="shared" ca="1" si="4"/>
        <v>42829</v>
      </c>
      <c r="M9" s="14">
        <f t="shared" ca="1" si="5"/>
        <v>42830</v>
      </c>
      <c r="N9" s="14">
        <f t="shared" ca="1" si="6"/>
        <v>42831</v>
      </c>
      <c r="O9" s="14">
        <f t="shared" ca="1" si="7"/>
        <v>42832</v>
      </c>
      <c r="P9" s="14">
        <f t="shared" ca="1" si="8"/>
        <v>42833</v>
      </c>
      <c r="Q9" s="14">
        <f t="shared" ca="1" si="9"/>
        <v>42834</v>
      </c>
      <c r="R9" s="14">
        <f t="shared" ca="1" si="10"/>
        <v>42835</v>
      </c>
      <c r="S9" s="14">
        <f t="shared" ca="1" si="11"/>
        <v>42836</v>
      </c>
      <c r="T9" s="14">
        <f t="shared" ca="1" si="12"/>
        <v>42837</v>
      </c>
      <c r="U9" s="14">
        <f t="shared" ca="1" si="13"/>
        <v>42838</v>
      </c>
      <c r="V9" s="14">
        <f t="shared" ca="1" si="14"/>
        <v>42839</v>
      </c>
      <c r="W9" s="14">
        <f t="shared" ca="1" si="15"/>
        <v>42840</v>
      </c>
      <c r="X9" s="14">
        <f t="shared" ca="1" si="16"/>
        <v>42841</v>
      </c>
      <c r="Y9" s="14">
        <f t="shared" ca="1" si="17"/>
        <v>42842</v>
      </c>
      <c r="Z9" s="14">
        <f t="shared" ca="1" si="18"/>
        <v>42843</v>
      </c>
      <c r="AA9" s="14">
        <f t="shared" ca="1" si="19"/>
        <v>42844</v>
      </c>
      <c r="AB9" s="14">
        <f t="shared" ca="1" si="20"/>
        <v>42845</v>
      </c>
      <c r="AC9" s="14">
        <f t="shared" ca="1" si="21"/>
        <v>42846</v>
      </c>
      <c r="AD9" s="14">
        <f t="shared" ca="1" si="22"/>
        <v>42847</v>
      </c>
      <c r="AE9" s="14">
        <f t="shared" ca="1" si="23"/>
        <v>42848</v>
      </c>
      <c r="AF9" s="14">
        <f t="shared" ca="1" si="24"/>
        <v>42849</v>
      </c>
      <c r="AG9" s="14">
        <f t="shared" ca="1" si="25"/>
        <v>42850</v>
      </c>
      <c r="AH9" s="14">
        <f t="shared" ca="1" si="26"/>
        <v>42851</v>
      </c>
      <c r="AI9" s="14">
        <f t="shared" ca="1" si="27"/>
        <v>42852</v>
      </c>
      <c r="AJ9" s="14">
        <f t="shared" ca="1" si="28"/>
        <v>42853</v>
      </c>
      <c r="AK9" s="14">
        <f t="shared" ca="1" si="29"/>
        <v>42854</v>
      </c>
      <c r="AL9" s="14">
        <f t="shared" ca="1" si="30"/>
        <v>42855</v>
      </c>
      <c r="AM9" s="14" t="str">
        <f t="shared" ca="1" si="30"/>
        <v/>
      </c>
      <c r="AN9" s="14" t="str">
        <f t="shared" ca="1" si="30"/>
        <v/>
      </c>
      <c r="AO9" s="14" t="str">
        <f t="shared" ca="1" si="30"/>
        <v/>
      </c>
      <c r="AP9" s="14" t="str">
        <f t="shared" ca="1" si="30"/>
        <v/>
      </c>
      <c r="AQ9" s="14" t="str">
        <f t="shared" ca="1" si="30"/>
        <v/>
      </c>
      <c r="AR9" s="14" t="str">
        <f t="shared" ca="1" si="30"/>
        <v/>
      </c>
    </row>
    <row r="10" spans="1:44" ht="18.75" customHeight="1" x14ac:dyDescent="0.3">
      <c r="B10" s="13" t="s">
        <v>8</v>
      </c>
      <c r="C10" s="14" t="str">
        <f t="shared" ca="1" si="0"/>
        <v/>
      </c>
      <c r="D10" s="14">
        <f t="shared" ca="1" si="1"/>
        <v>42856</v>
      </c>
      <c r="E10" s="14">
        <f t="shared" ca="1" si="1"/>
        <v>42857</v>
      </c>
      <c r="F10" s="14">
        <f t="shared" ca="1" si="1"/>
        <v>42858</v>
      </c>
      <c r="G10" s="14">
        <f t="shared" ca="1" si="1"/>
        <v>42859</v>
      </c>
      <c r="H10" s="14">
        <f t="shared" ca="1" si="1"/>
        <v>42860</v>
      </c>
      <c r="I10" s="14">
        <f t="shared" ca="1" si="1"/>
        <v>42861</v>
      </c>
      <c r="J10" s="14">
        <f t="shared" ca="1" si="2"/>
        <v>42862</v>
      </c>
      <c r="K10" s="14">
        <f t="shared" ca="1" si="3"/>
        <v>42863</v>
      </c>
      <c r="L10" s="14">
        <f t="shared" ca="1" si="4"/>
        <v>42864</v>
      </c>
      <c r="M10" s="14">
        <f t="shared" ca="1" si="5"/>
        <v>42865</v>
      </c>
      <c r="N10" s="14">
        <f t="shared" ca="1" si="6"/>
        <v>42866</v>
      </c>
      <c r="O10" s="14">
        <f t="shared" ca="1" si="7"/>
        <v>42867</v>
      </c>
      <c r="P10" s="14">
        <f t="shared" ca="1" si="8"/>
        <v>42868</v>
      </c>
      <c r="Q10" s="14">
        <f t="shared" ca="1" si="9"/>
        <v>42869</v>
      </c>
      <c r="R10" s="14">
        <f t="shared" ca="1" si="10"/>
        <v>42870</v>
      </c>
      <c r="S10" s="14">
        <f t="shared" ca="1" si="11"/>
        <v>42871</v>
      </c>
      <c r="T10" s="14">
        <f t="shared" ca="1" si="12"/>
        <v>42872</v>
      </c>
      <c r="U10" s="14">
        <f t="shared" ca="1" si="13"/>
        <v>42873</v>
      </c>
      <c r="V10" s="14">
        <f t="shared" ca="1" si="14"/>
        <v>42874</v>
      </c>
      <c r="W10" s="14">
        <f t="shared" ca="1" si="15"/>
        <v>42875</v>
      </c>
      <c r="X10" s="14">
        <f t="shared" ca="1" si="16"/>
        <v>42876</v>
      </c>
      <c r="Y10" s="14">
        <f t="shared" ca="1" si="17"/>
        <v>42877</v>
      </c>
      <c r="Z10" s="14">
        <f t="shared" ca="1" si="18"/>
        <v>42878</v>
      </c>
      <c r="AA10" s="14">
        <f t="shared" ca="1" si="19"/>
        <v>42879</v>
      </c>
      <c r="AB10" s="14">
        <f t="shared" ca="1" si="20"/>
        <v>42880</v>
      </c>
      <c r="AC10" s="14">
        <f t="shared" ca="1" si="21"/>
        <v>42881</v>
      </c>
      <c r="AD10" s="14">
        <f t="shared" ca="1" si="22"/>
        <v>42882</v>
      </c>
      <c r="AE10" s="14">
        <f t="shared" ca="1" si="23"/>
        <v>42883</v>
      </c>
      <c r="AF10" s="14">
        <f t="shared" ca="1" si="24"/>
        <v>42884</v>
      </c>
      <c r="AG10" s="14">
        <f t="shared" ca="1" si="25"/>
        <v>42885</v>
      </c>
      <c r="AH10" s="14">
        <f t="shared" ca="1" si="26"/>
        <v>42886</v>
      </c>
      <c r="AI10" s="14">
        <f t="shared" ca="1" si="27"/>
        <v>42887</v>
      </c>
      <c r="AJ10" s="14">
        <f t="shared" ca="1" si="28"/>
        <v>42888</v>
      </c>
      <c r="AK10" s="14">
        <f t="shared" ca="1" si="29"/>
        <v>42889</v>
      </c>
      <c r="AL10" s="14" t="str">
        <f t="shared" ca="1" si="30"/>
        <v/>
      </c>
      <c r="AM10" s="14" t="str">
        <f t="shared" ca="1" si="30"/>
        <v/>
      </c>
      <c r="AN10" s="14" t="str">
        <f t="shared" ca="1" si="30"/>
        <v/>
      </c>
      <c r="AO10" s="14" t="str">
        <f t="shared" ca="1" si="30"/>
        <v/>
      </c>
      <c r="AP10" s="14" t="str">
        <f t="shared" ca="1" si="30"/>
        <v/>
      </c>
      <c r="AQ10" s="14" t="str">
        <f t="shared" ca="1" si="30"/>
        <v/>
      </c>
      <c r="AR10" s="14" t="str">
        <f t="shared" ca="1" si="30"/>
        <v/>
      </c>
    </row>
    <row r="11" spans="1:44" ht="18.75" customHeight="1" x14ac:dyDescent="0.3">
      <c r="B11" s="13" t="s">
        <v>9</v>
      </c>
      <c r="C11" s="14" t="str">
        <f t="shared" ca="1" si="0"/>
        <v/>
      </c>
      <c r="D11" s="14" t="str">
        <f t="shared" ca="1" si="1"/>
        <v/>
      </c>
      <c r="E11" s="14" t="str">
        <f t="shared" ca="1" si="1"/>
        <v/>
      </c>
      <c r="F11" s="14" t="str">
        <f t="shared" ca="1" si="1"/>
        <v/>
      </c>
      <c r="G11" s="14">
        <f t="shared" ca="1" si="1"/>
        <v>42887</v>
      </c>
      <c r="H11" s="14">
        <f t="shared" ca="1" si="1"/>
        <v>42888</v>
      </c>
      <c r="I11" s="14">
        <f t="shared" ca="1" si="1"/>
        <v>42889</v>
      </c>
      <c r="J11" s="14">
        <f t="shared" ca="1" si="2"/>
        <v>42890</v>
      </c>
      <c r="K11" s="14">
        <f t="shared" ca="1" si="3"/>
        <v>42891</v>
      </c>
      <c r="L11" s="14">
        <f t="shared" ca="1" si="4"/>
        <v>42892</v>
      </c>
      <c r="M11" s="14">
        <f t="shared" ca="1" si="5"/>
        <v>42893</v>
      </c>
      <c r="N11" s="14">
        <f t="shared" ca="1" si="6"/>
        <v>42894</v>
      </c>
      <c r="O11" s="14">
        <f t="shared" ca="1" si="7"/>
        <v>42895</v>
      </c>
      <c r="P11" s="14">
        <f t="shared" ca="1" si="8"/>
        <v>42896</v>
      </c>
      <c r="Q11" s="14">
        <f t="shared" ca="1" si="9"/>
        <v>42897</v>
      </c>
      <c r="R11" s="14">
        <f t="shared" ca="1" si="10"/>
        <v>42898</v>
      </c>
      <c r="S11" s="14">
        <f t="shared" ca="1" si="11"/>
        <v>42899</v>
      </c>
      <c r="T11" s="14">
        <f t="shared" ca="1" si="12"/>
        <v>42900</v>
      </c>
      <c r="U11" s="14">
        <f t="shared" ca="1" si="13"/>
        <v>42901</v>
      </c>
      <c r="V11" s="14">
        <f t="shared" ca="1" si="14"/>
        <v>42902</v>
      </c>
      <c r="W11" s="14">
        <f t="shared" ca="1" si="15"/>
        <v>42903</v>
      </c>
      <c r="X11" s="14">
        <f t="shared" ca="1" si="16"/>
        <v>42904</v>
      </c>
      <c r="Y11" s="14">
        <f t="shared" ca="1" si="17"/>
        <v>42905</v>
      </c>
      <c r="Z11" s="14">
        <f t="shared" ca="1" si="18"/>
        <v>42906</v>
      </c>
      <c r="AA11" s="14">
        <f t="shared" ca="1" si="19"/>
        <v>42907</v>
      </c>
      <c r="AB11" s="14">
        <f t="shared" ca="1" si="20"/>
        <v>42908</v>
      </c>
      <c r="AC11" s="14">
        <f t="shared" ca="1" si="21"/>
        <v>42909</v>
      </c>
      <c r="AD11" s="14">
        <f t="shared" ca="1" si="22"/>
        <v>42910</v>
      </c>
      <c r="AE11" s="14">
        <f t="shared" ca="1" si="23"/>
        <v>42911</v>
      </c>
      <c r="AF11" s="14">
        <f t="shared" ca="1" si="24"/>
        <v>42912</v>
      </c>
      <c r="AG11" s="14">
        <f t="shared" ca="1" si="25"/>
        <v>42913</v>
      </c>
      <c r="AH11" s="14">
        <f t="shared" ca="1" si="26"/>
        <v>42914</v>
      </c>
      <c r="AI11" s="14">
        <f t="shared" ca="1" si="27"/>
        <v>42915</v>
      </c>
      <c r="AJ11" s="14">
        <f t="shared" ca="1" si="28"/>
        <v>42916</v>
      </c>
      <c r="AK11" s="14">
        <f t="shared" ca="1" si="29"/>
        <v>42917</v>
      </c>
      <c r="AL11" s="14" t="str">
        <f t="shared" ca="1" si="30"/>
        <v/>
      </c>
      <c r="AM11" s="14" t="str">
        <f t="shared" ca="1" si="30"/>
        <v/>
      </c>
      <c r="AN11" s="14" t="str">
        <f t="shared" ca="1" si="30"/>
        <v/>
      </c>
      <c r="AO11" s="14" t="str">
        <f t="shared" ca="1" si="30"/>
        <v/>
      </c>
      <c r="AP11" s="14" t="str">
        <f t="shared" ca="1" si="30"/>
        <v/>
      </c>
      <c r="AQ11" s="14" t="str">
        <f t="shared" ca="1" si="30"/>
        <v/>
      </c>
      <c r="AR11" s="14" t="str">
        <f t="shared" ca="1" si="30"/>
        <v/>
      </c>
    </row>
    <row r="12" spans="1:44" ht="18.75" customHeight="1" x14ac:dyDescent="0.3">
      <c r="B12" s="13" t="s">
        <v>10</v>
      </c>
      <c r="C12" s="14" t="str">
        <f t="shared" ca="1" si="0"/>
        <v/>
      </c>
      <c r="D12" s="14" t="str">
        <f t="shared" ca="1" si="1"/>
        <v/>
      </c>
      <c r="E12" s="14" t="str">
        <f t="shared" ca="1" si="1"/>
        <v/>
      </c>
      <c r="F12" s="14" t="str">
        <f t="shared" ca="1" si="1"/>
        <v/>
      </c>
      <c r="G12" s="14" t="str">
        <f t="shared" ca="1" si="1"/>
        <v/>
      </c>
      <c r="H12" s="14" t="str">
        <f t="shared" ca="1" si="1"/>
        <v/>
      </c>
      <c r="I12" s="14">
        <f t="shared" ca="1" si="1"/>
        <v>42917</v>
      </c>
      <c r="J12" s="14">
        <f t="shared" ca="1" si="2"/>
        <v>42918</v>
      </c>
      <c r="K12" s="14">
        <f t="shared" ca="1" si="3"/>
        <v>42919</v>
      </c>
      <c r="L12" s="14">
        <f t="shared" ca="1" si="4"/>
        <v>42920</v>
      </c>
      <c r="M12" s="14">
        <f t="shared" ca="1" si="5"/>
        <v>42921</v>
      </c>
      <c r="N12" s="14">
        <f t="shared" ca="1" si="6"/>
        <v>42922</v>
      </c>
      <c r="O12" s="14">
        <f t="shared" ca="1" si="7"/>
        <v>42923</v>
      </c>
      <c r="P12" s="14">
        <f t="shared" ca="1" si="8"/>
        <v>42924</v>
      </c>
      <c r="Q12" s="14">
        <f t="shared" ca="1" si="9"/>
        <v>42925</v>
      </c>
      <c r="R12" s="14">
        <f t="shared" ca="1" si="10"/>
        <v>42926</v>
      </c>
      <c r="S12" s="14">
        <f t="shared" ca="1" si="11"/>
        <v>42927</v>
      </c>
      <c r="T12" s="14">
        <f t="shared" ca="1" si="12"/>
        <v>42928</v>
      </c>
      <c r="U12" s="14">
        <f t="shared" ca="1" si="13"/>
        <v>42929</v>
      </c>
      <c r="V12" s="14">
        <f t="shared" ca="1" si="14"/>
        <v>42930</v>
      </c>
      <c r="W12" s="14">
        <f t="shared" ca="1" si="15"/>
        <v>42931</v>
      </c>
      <c r="X12" s="14">
        <f t="shared" ca="1" si="16"/>
        <v>42932</v>
      </c>
      <c r="Y12" s="14">
        <f t="shared" ca="1" si="17"/>
        <v>42933</v>
      </c>
      <c r="Z12" s="14">
        <f t="shared" ca="1" si="18"/>
        <v>42934</v>
      </c>
      <c r="AA12" s="14">
        <f t="shared" ca="1" si="19"/>
        <v>42935</v>
      </c>
      <c r="AB12" s="14">
        <f t="shared" ca="1" si="20"/>
        <v>42936</v>
      </c>
      <c r="AC12" s="14">
        <f t="shared" ca="1" si="21"/>
        <v>42937</v>
      </c>
      <c r="AD12" s="14">
        <f t="shared" ca="1" si="22"/>
        <v>42938</v>
      </c>
      <c r="AE12" s="14">
        <f t="shared" ca="1" si="23"/>
        <v>42939</v>
      </c>
      <c r="AF12" s="14">
        <f t="shared" ca="1" si="24"/>
        <v>42940</v>
      </c>
      <c r="AG12" s="14">
        <f t="shared" ca="1" si="25"/>
        <v>42941</v>
      </c>
      <c r="AH12" s="14">
        <f t="shared" ca="1" si="26"/>
        <v>42942</v>
      </c>
      <c r="AI12" s="14">
        <f t="shared" ca="1" si="27"/>
        <v>42943</v>
      </c>
      <c r="AJ12" s="14">
        <f t="shared" ca="1" si="28"/>
        <v>42944</v>
      </c>
      <c r="AK12" s="14">
        <f t="shared" ca="1" si="29"/>
        <v>42945</v>
      </c>
      <c r="AL12" s="14">
        <f t="shared" ca="1" si="30"/>
        <v>42946</v>
      </c>
      <c r="AM12" s="14">
        <f t="shared" ca="1" si="30"/>
        <v>42947</v>
      </c>
      <c r="AN12" s="14" t="str">
        <f t="shared" ca="1" si="30"/>
        <v/>
      </c>
      <c r="AO12" s="14" t="str">
        <f t="shared" ca="1" si="30"/>
        <v/>
      </c>
      <c r="AP12" s="14" t="str">
        <f t="shared" ca="1" si="30"/>
        <v/>
      </c>
      <c r="AQ12" s="14" t="str">
        <f t="shared" ca="1" si="30"/>
        <v/>
      </c>
      <c r="AR12" s="14" t="str">
        <f t="shared" ca="1" si="30"/>
        <v/>
      </c>
    </row>
    <row r="13" spans="1:44" ht="18.75" customHeight="1" x14ac:dyDescent="0.3">
      <c r="B13" s="13" t="s">
        <v>11</v>
      </c>
      <c r="C13" s="14" t="str">
        <f t="shared" ca="1" si="0"/>
        <v/>
      </c>
      <c r="D13" s="14" t="str">
        <f t="shared" ca="1" si="1"/>
        <v/>
      </c>
      <c r="E13" s="14">
        <f t="shared" ca="1" si="1"/>
        <v>42948</v>
      </c>
      <c r="F13" s="14">
        <f t="shared" ca="1" si="1"/>
        <v>42949</v>
      </c>
      <c r="G13" s="14">
        <f t="shared" ca="1" si="1"/>
        <v>42950</v>
      </c>
      <c r="H13" s="14">
        <f t="shared" ca="1" si="1"/>
        <v>42951</v>
      </c>
      <c r="I13" s="14">
        <f t="shared" ca="1" si="1"/>
        <v>42952</v>
      </c>
      <c r="J13" s="14">
        <f t="shared" ca="1" si="2"/>
        <v>42953</v>
      </c>
      <c r="K13" s="14">
        <f t="shared" ca="1" si="3"/>
        <v>42954</v>
      </c>
      <c r="L13" s="14">
        <f t="shared" ca="1" si="4"/>
        <v>42955</v>
      </c>
      <c r="M13" s="14">
        <f t="shared" ca="1" si="5"/>
        <v>42956</v>
      </c>
      <c r="N13" s="14">
        <f t="shared" ca="1" si="6"/>
        <v>42957</v>
      </c>
      <c r="O13" s="14">
        <f t="shared" ca="1" si="7"/>
        <v>42958</v>
      </c>
      <c r="P13" s="14">
        <f t="shared" ca="1" si="8"/>
        <v>42959</v>
      </c>
      <c r="Q13" s="14">
        <f t="shared" ca="1" si="9"/>
        <v>42960</v>
      </c>
      <c r="R13" s="14">
        <f t="shared" ca="1" si="10"/>
        <v>42961</v>
      </c>
      <c r="S13" s="14">
        <f t="shared" ca="1" si="11"/>
        <v>42962</v>
      </c>
      <c r="T13" s="14">
        <f t="shared" ca="1" si="12"/>
        <v>42963</v>
      </c>
      <c r="U13" s="14">
        <f t="shared" ca="1" si="13"/>
        <v>42964</v>
      </c>
      <c r="V13" s="14">
        <f t="shared" ca="1" si="14"/>
        <v>42965</v>
      </c>
      <c r="W13" s="14">
        <f t="shared" ca="1" si="15"/>
        <v>42966</v>
      </c>
      <c r="X13" s="14">
        <f t="shared" ca="1" si="16"/>
        <v>42967</v>
      </c>
      <c r="Y13" s="14">
        <f t="shared" ca="1" si="17"/>
        <v>42968</v>
      </c>
      <c r="Z13" s="14">
        <f t="shared" ca="1" si="18"/>
        <v>42969</v>
      </c>
      <c r="AA13" s="14">
        <f t="shared" ca="1" si="19"/>
        <v>42970</v>
      </c>
      <c r="AB13" s="14">
        <f t="shared" ca="1" si="20"/>
        <v>42971</v>
      </c>
      <c r="AC13" s="14">
        <f t="shared" ca="1" si="21"/>
        <v>42972</v>
      </c>
      <c r="AD13" s="14">
        <f t="shared" ca="1" si="22"/>
        <v>42973</v>
      </c>
      <c r="AE13" s="14">
        <f t="shared" ca="1" si="23"/>
        <v>42974</v>
      </c>
      <c r="AF13" s="14">
        <f t="shared" ca="1" si="24"/>
        <v>42975</v>
      </c>
      <c r="AG13" s="14">
        <f t="shared" ca="1" si="25"/>
        <v>42976</v>
      </c>
      <c r="AH13" s="14">
        <f t="shared" ca="1" si="26"/>
        <v>42977</v>
      </c>
      <c r="AI13" s="14">
        <f t="shared" ca="1" si="27"/>
        <v>42978</v>
      </c>
      <c r="AJ13" s="14">
        <f t="shared" ca="1" si="28"/>
        <v>42979</v>
      </c>
      <c r="AK13" s="14">
        <f t="shared" ca="1" si="29"/>
        <v>42980</v>
      </c>
      <c r="AL13" s="14" t="str">
        <f t="shared" ca="1" si="30"/>
        <v/>
      </c>
      <c r="AM13" s="14" t="str">
        <f t="shared" ca="1" si="30"/>
        <v/>
      </c>
      <c r="AN13" s="14" t="str">
        <f t="shared" ca="1" si="30"/>
        <v/>
      </c>
      <c r="AO13" s="14" t="str">
        <f t="shared" ca="1" si="30"/>
        <v/>
      </c>
      <c r="AP13" s="14" t="str">
        <f t="shared" ca="1" si="30"/>
        <v/>
      </c>
      <c r="AQ13" s="14" t="str">
        <f t="shared" ca="1" si="30"/>
        <v/>
      </c>
      <c r="AR13" s="14" t="str">
        <f t="shared" ca="1" si="30"/>
        <v/>
      </c>
    </row>
    <row r="14" spans="1:44" ht="18.75" customHeight="1" x14ac:dyDescent="0.3">
      <c r="B14" s="13" t="s">
        <v>12</v>
      </c>
      <c r="C14" s="14" t="str">
        <f t="shared" ca="1" si="0"/>
        <v/>
      </c>
      <c r="D14" s="14" t="str">
        <f t="shared" ca="1" si="1"/>
        <v/>
      </c>
      <c r="E14" s="14" t="str">
        <f t="shared" ca="1" si="1"/>
        <v/>
      </c>
      <c r="F14" s="14" t="str">
        <f t="shared" ca="1" si="1"/>
        <v/>
      </c>
      <c r="G14" s="14" t="str">
        <f t="shared" ca="1" si="1"/>
        <v/>
      </c>
      <c r="H14" s="14">
        <f t="shared" ca="1" si="1"/>
        <v>42979</v>
      </c>
      <c r="I14" s="14">
        <f t="shared" ca="1" si="1"/>
        <v>42980</v>
      </c>
      <c r="J14" s="14">
        <f t="shared" ca="1" si="2"/>
        <v>42981</v>
      </c>
      <c r="K14" s="14">
        <f t="shared" ca="1" si="3"/>
        <v>42982</v>
      </c>
      <c r="L14" s="14">
        <f t="shared" ca="1" si="4"/>
        <v>42983</v>
      </c>
      <c r="M14" s="14">
        <f t="shared" ca="1" si="5"/>
        <v>42984</v>
      </c>
      <c r="N14" s="14">
        <f t="shared" ca="1" si="6"/>
        <v>42985</v>
      </c>
      <c r="O14" s="14">
        <f t="shared" ca="1" si="7"/>
        <v>42986</v>
      </c>
      <c r="P14" s="14">
        <f t="shared" ca="1" si="8"/>
        <v>42987</v>
      </c>
      <c r="Q14" s="14">
        <f t="shared" ca="1" si="9"/>
        <v>42988</v>
      </c>
      <c r="R14" s="14">
        <f t="shared" ca="1" si="10"/>
        <v>42989</v>
      </c>
      <c r="S14" s="14">
        <f t="shared" ca="1" si="11"/>
        <v>42990</v>
      </c>
      <c r="T14" s="14">
        <f t="shared" ca="1" si="12"/>
        <v>42991</v>
      </c>
      <c r="U14" s="14">
        <f t="shared" ca="1" si="13"/>
        <v>42992</v>
      </c>
      <c r="V14" s="14">
        <f t="shared" ca="1" si="14"/>
        <v>42993</v>
      </c>
      <c r="W14" s="14">
        <f t="shared" ca="1" si="15"/>
        <v>42994</v>
      </c>
      <c r="X14" s="14">
        <f t="shared" ca="1" si="16"/>
        <v>42995</v>
      </c>
      <c r="Y14" s="14">
        <f t="shared" ca="1" si="17"/>
        <v>42996</v>
      </c>
      <c r="Z14" s="14">
        <f t="shared" ca="1" si="18"/>
        <v>42997</v>
      </c>
      <c r="AA14" s="14">
        <f t="shared" ca="1" si="19"/>
        <v>42998</v>
      </c>
      <c r="AB14" s="14">
        <f t="shared" ca="1" si="20"/>
        <v>42999</v>
      </c>
      <c r="AC14" s="14">
        <f t="shared" ca="1" si="21"/>
        <v>43000</v>
      </c>
      <c r="AD14" s="14">
        <f t="shared" ca="1" si="22"/>
        <v>43001</v>
      </c>
      <c r="AE14" s="14">
        <f t="shared" ca="1" si="23"/>
        <v>43002</v>
      </c>
      <c r="AF14" s="14">
        <f t="shared" ca="1" si="24"/>
        <v>43003</v>
      </c>
      <c r="AG14" s="14">
        <f t="shared" ca="1" si="25"/>
        <v>43004</v>
      </c>
      <c r="AH14" s="14">
        <f t="shared" ca="1" si="26"/>
        <v>43005</v>
      </c>
      <c r="AI14" s="14">
        <f t="shared" ca="1" si="27"/>
        <v>43006</v>
      </c>
      <c r="AJ14" s="14">
        <f t="shared" ca="1" si="28"/>
        <v>43007</v>
      </c>
      <c r="AK14" s="14">
        <f t="shared" ca="1" si="29"/>
        <v>43008</v>
      </c>
      <c r="AL14" s="14" t="str">
        <f t="shared" ca="1" si="30"/>
        <v/>
      </c>
      <c r="AM14" s="14" t="str">
        <f t="shared" ca="1" si="30"/>
        <v/>
      </c>
      <c r="AN14" s="14" t="str">
        <f t="shared" ca="1" si="30"/>
        <v/>
      </c>
      <c r="AO14" s="14" t="str">
        <f t="shared" ca="1" si="30"/>
        <v/>
      </c>
      <c r="AP14" s="14" t="str">
        <f t="shared" ca="1" si="30"/>
        <v/>
      </c>
      <c r="AQ14" s="14" t="str">
        <f t="shared" ca="1" si="30"/>
        <v/>
      </c>
      <c r="AR14" s="14" t="str">
        <f t="shared" ca="1" si="30"/>
        <v/>
      </c>
    </row>
    <row r="15" spans="1:44" ht="18.75" customHeight="1" x14ac:dyDescent="0.3">
      <c r="B15" s="13" t="s">
        <v>13</v>
      </c>
      <c r="C15" s="14">
        <f t="shared" ca="1" si="0"/>
        <v>43009</v>
      </c>
      <c r="D15" s="14">
        <f t="shared" ca="1" si="1"/>
        <v>43010</v>
      </c>
      <c r="E15" s="14">
        <f t="shared" ca="1" si="1"/>
        <v>43011</v>
      </c>
      <c r="F15" s="14">
        <f t="shared" ca="1" si="1"/>
        <v>43012</v>
      </c>
      <c r="G15" s="14">
        <f t="shared" ca="1" si="1"/>
        <v>43013</v>
      </c>
      <c r="H15" s="14">
        <f t="shared" ca="1" si="1"/>
        <v>43014</v>
      </c>
      <c r="I15" s="14">
        <f t="shared" ca="1" si="1"/>
        <v>43015</v>
      </c>
      <c r="J15" s="14">
        <f t="shared" ca="1" si="2"/>
        <v>43016</v>
      </c>
      <c r="K15" s="14">
        <f t="shared" ca="1" si="3"/>
        <v>43017</v>
      </c>
      <c r="L15" s="14">
        <f t="shared" ca="1" si="4"/>
        <v>43018</v>
      </c>
      <c r="M15" s="14">
        <f t="shared" ca="1" si="5"/>
        <v>43019</v>
      </c>
      <c r="N15" s="14">
        <f t="shared" ca="1" si="6"/>
        <v>43020</v>
      </c>
      <c r="O15" s="14">
        <f t="shared" ca="1" si="7"/>
        <v>43021</v>
      </c>
      <c r="P15" s="14">
        <f t="shared" ca="1" si="8"/>
        <v>43022</v>
      </c>
      <c r="Q15" s="14">
        <f t="shared" ca="1" si="9"/>
        <v>43023</v>
      </c>
      <c r="R15" s="14">
        <f t="shared" ca="1" si="10"/>
        <v>43024</v>
      </c>
      <c r="S15" s="14">
        <f t="shared" ca="1" si="11"/>
        <v>43025</v>
      </c>
      <c r="T15" s="14">
        <f t="shared" ca="1" si="12"/>
        <v>43026</v>
      </c>
      <c r="U15" s="14">
        <f t="shared" ca="1" si="13"/>
        <v>43027</v>
      </c>
      <c r="V15" s="14">
        <f t="shared" ca="1" si="14"/>
        <v>43028</v>
      </c>
      <c r="W15" s="14">
        <f t="shared" ca="1" si="15"/>
        <v>43029</v>
      </c>
      <c r="X15" s="14">
        <f t="shared" ca="1" si="16"/>
        <v>43030</v>
      </c>
      <c r="Y15" s="14">
        <f t="shared" ca="1" si="17"/>
        <v>43031</v>
      </c>
      <c r="Z15" s="14">
        <f t="shared" ca="1" si="18"/>
        <v>43032</v>
      </c>
      <c r="AA15" s="14">
        <f t="shared" ca="1" si="19"/>
        <v>43033</v>
      </c>
      <c r="AB15" s="14">
        <f t="shared" ca="1" si="20"/>
        <v>43034</v>
      </c>
      <c r="AC15" s="14">
        <f t="shared" ca="1" si="21"/>
        <v>43035</v>
      </c>
      <c r="AD15" s="14">
        <f t="shared" ca="1" si="22"/>
        <v>43036</v>
      </c>
      <c r="AE15" s="14">
        <f t="shared" ca="1" si="23"/>
        <v>43037</v>
      </c>
      <c r="AF15" s="14">
        <f t="shared" ca="1" si="24"/>
        <v>43038</v>
      </c>
      <c r="AG15" s="14">
        <f t="shared" ca="1" si="25"/>
        <v>43039</v>
      </c>
      <c r="AH15" s="14">
        <f t="shared" ca="1" si="26"/>
        <v>43040</v>
      </c>
      <c r="AI15" s="14">
        <f t="shared" ca="1" si="27"/>
        <v>43041</v>
      </c>
      <c r="AJ15" s="14">
        <f t="shared" ca="1" si="28"/>
        <v>43042</v>
      </c>
      <c r="AK15" s="14">
        <f t="shared" ca="1" si="29"/>
        <v>43043</v>
      </c>
      <c r="AL15" s="14" t="str">
        <f t="shared" ca="1" si="30"/>
        <v/>
      </c>
      <c r="AM15" s="14" t="str">
        <f t="shared" ca="1" si="30"/>
        <v/>
      </c>
      <c r="AN15" s="14" t="str">
        <f t="shared" ca="1" si="30"/>
        <v/>
      </c>
      <c r="AO15" s="14" t="str">
        <f t="shared" ca="1" si="30"/>
        <v/>
      </c>
      <c r="AP15" s="14" t="str">
        <f t="shared" ca="1" si="30"/>
        <v/>
      </c>
      <c r="AQ15" s="14" t="str">
        <f t="shared" ca="1" si="30"/>
        <v/>
      </c>
      <c r="AR15" s="14" t="str">
        <f t="shared" ca="1" si="30"/>
        <v/>
      </c>
    </row>
    <row r="16" spans="1:44" ht="18.75" customHeight="1" x14ac:dyDescent="0.3">
      <c r="B16" s="13" t="s">
        <v>14</v>
      </c>
      <c r="C16" s="14" t="str">
        <f t="shared" ca="1" si="0"/>
        <v/>
      </c>
      <c r="D16" s="14" t="str">
        <f t="shared" ca="1" si="1"/>
        <v/>
      </c>
      <c r="E16" s="14" t="str">
        <f t="shared" ca="1" si="1"/>
        <v/>
      </c>
      <c r="F16" s="14">
        <f t="shared" ca="1" si="1"/>
        <v>43040</v>
      </c>
      <c r="G16" s="14">
        <f t="shared" ca="1" si="1"/>
        <v>43041</v>
      </c>
      <c r="H16" s="14">
        <f t="shared" ca="1" si="1"/>
        <v>43042</v>
      </c>
      <c r="I16" s="14">
        <f t="shared" ca="1" si="1"/>
        <v>43043</v>
      </c>
      <c r="J16" s="14">
        <f t="shared" ca="1" si="2"/>
        <v>43044</v>
      </c>
      <c r="K16" s="14">
        <f t="shared" ca="1" si="3"/>
        <v>43045</v>
      </c>
      <c r="L16" s="14">
        <f t="shared" ca="1" si="4"/>
        <v>43046</v>
      </c>
      <c r="M16" s="14">
        <f t="shared" ca="1" si="5"/>
        <v>43047</v>
      </c>
      <c r="N16" s="14">
        <f t="shared" ca="1" si="6"/>
        <v>43048</v>
      </c>
      <c r="O16" s="14">
        <f t="shared" ca="1" si="7"/>
        <v>43049</v>
      </c>
      <c r="P16" s="14">
        <f t="shared" ca="1" si="8"/>
        <v>43050</v>
      </c>
      <c r="Q16" s="14">
        <f t="shared" ca="1" si="9"/>
        <v>43051</v>
      </c>
      <c r="R16" s="14">
        <f t="shared" ca="1" si="10"/>
        <v>43052</v>
      </c>
      <c r="S16" s="14">
        <f t="shared" ca="1" si="11"/>
        <v>43053</v>
      </c>
      <c r="T16" s="14">
        <f t="shared" ca="1" si="12"/>
        <v>43054</v>
      </c>
      <c r="U16" s="14">
        <f t="shared" ca="1" si="13"/>
        <v>43055</v>
      </c>
      <c r="V16" s="14">
        <f t="shared" ca="1" si="14"/>
        <v>43056</v>
      </c>
      <c r="W16" s="14">
        <f t="shared" ca="1" si="15"/>
        <v>43057</v>
      </c>
      <c r="X16" s="14">
        <f t="shared" ca="1" si="16"/>
        <v>43058</v>
      </c>
      <c r="Y16" s="14">
        <f t="shared" ca="1" si="17"/>
        <v>43059</v>
      </c>
      <c r="Z16" s="14">
        <f t="shared" ca="1" si="18"/>
        <v>43060</v>
      </c>
      <c r="AA16" s="14">
        <f t="shared" ca="1" si="19"/>
        <v>43061</v>
      </c>
      <c r="AB16" s="14">
        <f t="shared" ca="1" si="20"/>
        <v>43062</v>
      </c>
      <c r="AC16" s="14">
        <f t="shared" ca="1" si="21"/>
        <v>43063</v>
      </c>
      <c r="AD16" s="14">
        <f t="shared" ca="1" si="22"/>
        <v>43064</v>
      </c>
      <c r="AE16" s="14">
        <f t="shared" ca="1" si="23"/>
        <v>43065</v>
      </c>
      <c r="AF16" s="14">
        <f t="shared" ca="1" si="24"/>
        <v>43066</v>
      </c>
      <c r="AG16" s="14">
        <f t="shared" ca="1" si="25"/>
        <v>43067</v>
      </c>
      <c r="AH16" s="14">
        <f t="shared" ca="1" si="26"/>
        <v>43068</v>
      </c>
      <c r="AI16" s="14">
        <f t="shared" ca="1" si="27"/>
        <v>43069</v>
      </c>
      <c r="AJ16" s="14">
        <f t="shared" ca="1" si="28"/>
        <v>43070</v>
      </c>
      <c r="AK16" s="14">
        <f t="shared" ca="1" si="29"/>
        <v>43071</v>
      </c>
      <c r="AL16" s="14" t="str">
        <f t="shared" ca="1" si="30"/>
        <v/>
      </c>
      <c r="AM16" s="14" t="str">
        <f t="shared" ca="1" si="30"/>
        <v/>
      </c>
      <c r="AN16" s="14" t="str">
        <f t="shared" ca="1" si="30"/>
        <v/>
      </c>
      <c r="AO16" s="14" t="str">
        <f t="shared" ca="1" si="30"/>
        <v/>
      </c>
      <c r="AP16" s="14" t="str">
        <f t="shared" ca="1" si="30"/>
        <v/>
      </c>
      <c r="AQ16" s="14" t="str">
        <f t="shared" ca="1" si="30"/>
        <v/>
      </c>
      <c r="AR16" s="14" t="str">
        <f t="shared" ca="1" si="30"/>
        <v/>
      </c>
    </row>
    <row r="17" spans="2:44" ht="18.75" customHeight="1" x14ac:dyDescent="0.3">
      <c r="B17" s="13" t="s">
        <v>15</v>
      </c>
      <c r="C17" s="14" t="str">
        <f ca="1">IFERROR(IF(TEXT(DATE(Calendar_Year,ROW($A12),1),"aaa")=LEFT(C$5,3),DATE(Calendar_Year,ROW($A12),1),""),"")</f>
        <v/>
      </c>
      <c r="D17" s="14" t="str">
        <f t="shared" ref="D17:I17" ca="1" si="31">IFERROR(IF(TEXT(DATE(Calendar_Year,ROW($A12),1),"aaa")=LEFT(D$5,3),DATE(Calendar_Year,ROW($A12),1),IF(C17&gt;=1,C17+1,"")),"")</f>
        <v/>
      </c>
      <c r="E17" s="14" t="str">
        <f t="shared" ca="1" si="31"/>
        <v/>
      </c>
      <c r="F17" s="14" t="str">
        <f t="shared" ca="1" si="31"/>
        <v/>
      </c>
      <c r="G17" s="14" t="str">
        <f t="shared" ca="1" si="31"/>
        <v/>
      </c>
      <c r="H17" s="14">
        <f t="shared" ca="1" si="31"/>
        <v>43070</v>
      </c>
      <c r="I17" s="14">
        <f t="shared" ca="1" si="31"/>
        <v>43071</v>
      </c>
      <c r="J17" s="14">
        <f t="shared" ca="1" si="2"/>
        <v>43072</v>
      </c>
      <c r="K17" s="14">
        <f t="shared" ca="1" si="3"/>
        <v>43073</v>
      </c>
      <c r="L17" s="14">
        <f t="shared" ca="1" si="4"/>
        <v>43074</v>
      </c>
      <c r="M17" s="14">
        <f t="shared" ca="1" si="5"/>
        <v>43075</v>
      </c>
      <c r="N17" s="14">
        <f t="shared" ca="1" si="6"/>
        <v>43076</v>
      </c>
      <c r="O17" s="14">
        <f t="shared" ca="1" si="7"/>
        <v>43077</v>
      </c>
      <c r="P17" s="14">
        <f t="shared" ca="1" si="8"/>
        <v>43078</v>
      </c>
      <c r="Q17" s="14">
        <f t="shared" ca="1" si="9"/>
        <v>43079</v>
      </c>
      <c r="R17" s="14">
        <f t="shared" ca="1" si="10"/>
        <v>43080</v>
      </c>
      <c r="S17" s="14">
        <f t="shared" ca="1" si="11"/>
        <v>43081</v>
      </c>
      <c r="T17" s="14">
        <f t="shared" ca="1" si="12"/>
        <v>43082</v>
      </c>
      <c r="U17" s="14">
        <f t="shared" ca="1" si="13"/>
        <v>43083</v>
      </c>
      <c r="V17" s="14">
        <f t="shared" ca="1" si="14"/>
        <v>43084</v>
      </c>
      <c r="W17" s="14">
        <f t="shared" ca="1" si="15"/>
        <v>43085</v>
      </c>
      <c r="X17" s="14">
        <f t="shared" ca="1" si="16"/>
        <v>43086</v>
      </c>
      <c r="Y17" s="14">
        <f t="shared" ca="1" si="17"/>
        <v>43087</v>
      </c>
      <c r="Z17" s="14">
        <f t="shared" ca="1" si="18"/>
        <v>43088</v>
      </c>
      <c r="AA17" s="14">
        <f t="shared" ca="1" si="19"/>
        <v>43089</v>
      </c>
      <c r="AB17" s="14">
        <f t="shared" ca="1" si="20"/>
        <v>43090</v>
      </c>
      <c r="AC17" s="14">
        <f t="shared" ca="1" si="21"/>
        <v>43091</v>
      </c>
      <c r="AD17" s="14">
        <f t="shared" ca="1" si="22"/>
        <v>43092</v>
      </c>
      <c r="AE17" s="14">
        <f t="shared" ca="1" si="23"/>
        <v>43093</v>
      </c>
      <c r="AF17" s="14">
        <f t="shared" ca="1" si="24"/>
        <v>43094</v>
      </c>
      <c r="AG17" s="14">
        <f t="shared" ca="1" si="25"/>
        <v>43095</v>
      </c>
      <c r="AH17" s="14">
        <f t="shared" ca="1" si="26"/>
        <v>43096</v>
      </c>
      <c r="AI17" s="14">
        <f t="shared" ca="1" si="27"/>
        <v>43097</v>
      </c>
      <c r="AJ17" s="14">
        <f t="shared" ca="1" si="28"/>
        <v>43098</v>
      </c>
      <c r="AK17" s="14">
        <f t="shared" ca="1" si="29"/>
        <v>43099</v>
      </c>
      <c r="AL17" s="14">
        <f t="shared" ref="AL17:AR17" ca="1" si="32">IFERROR(IF(AND(AK17&gt;=1,AK17+1&lt;=DATE(Calendar_Year,ROW($A12)+1,0)),AK17+1,""),"")</f>
        <v>43100</v>
      </c>
      <c r="AM17" s="14" t="str">
        <f t="shared" ca="1" si="32"/>
        <v/>
      </c>
      <c r="AN17" s="14" t="str">
        <f t="shared" ca="1" si="32"/>
        <v/>
      </c>
      <c r="AO17" s="14" t="str">
        <f t="shared" ca="1" si="32"/>
        <v/>
      </c>
      <c r="AP17" s="14" t="str">
        <f t="shared" ca="1" si="32"/>
        <v/>
      </c>
      <c r="AQ17" s="14" t="str">
        <f t="shared" ca="1" si="32"/>
        <v/>
      </c>
      <c r="AR17" s="14" t="str">
        <f t="shared" ca="1" si="32"/>
        <v/>
      </c>
    </row>
    <row r="18" spans="2:44" ht="39.950000000000003" customHeight="1" x14ac:dyDescent="0.3">
      <c r="B18" s="16" t="s">
        <v>16</v>
      </c>
      <c r="C18" s="17"/>
      <c r="D18" s="17"/>
      <c r="E18" s="17"/>
      <c r="F18" s="17"/>
      <c r="G18" s="18"/>
      <c r="H18" s="18"/>
      <c r="I18" s="18"/>
      <c r="J18" s="18"/>
      <c r="K18" s="18"/>
      <c r="L18" s="18"/>
      <c r="M18" s="18"/>
      <c r="N18" s="18"/>
      <c r="O18" s="18"/>
    </row>
    <row r="19" spans="2:44" ht="27.95" customHeight="1" x14ac:dyDescent="0.3">
      <c r="C19" s="30" t="s">
        <v>18</v>
      </c>
      <c r="D19" s="30"/>
      <c r="E19" s="30"/>
      <c r="F19" s="19"/>
      <c r="G19" s="20"/>
      <c r="H19" s="36" t="s">
        <v>19</v>
      </c>
      <c r="I19" s="36"/>
      <c r="J19" s="36"/>
      <c r="K19" s="36"/>
      <c r="L19" s="19"/>
      <c r="M19" s="21"/>
      <c r="N19" s="36" t="s">
        <v>20</v>
      </c>
      <c r="O19" s="36"/>
      <c r="P19" s="36"/>
      <c r="Q19" s="19"/>
      <c r="S19" s="30" t="s">
        <v>21</v>
      </c>
      <c r="T19" s="30"/>
      <c r="U19" s="30"/>
      <c r="V19" s="19"/>
      <c r="W19" s="20"/>
      <c r="X19" s="30" t="s">
        <v>22</v>
      </c>
      <c r="Y19" s="30"/>
      <c r="Z19" s="30"/>
      <c r="AA19" s="19"/>
      <c r="AB19" s="20"/>
      <c r="AC19" s="30" t="s">
        <v>23</v>
      </c>
      <c r="AD19" s="30"/>
      <c r="AE19" s="30"/>
      <c r="AF19" s="22"/>
    </row>
    <row r="20" spans="2:44" ht="54.95" customHeight="1" x14ac:dyDescent="0.3">
      <c r="C20" s="35">
        <f ca="1">SUMIFS(LeaveTracker[天数],LeaveTracker[员工姓名],valSelEmployee,LeaveTracker[开始日期],"&gt;="&amp;DATE(Calendar_Year,1,1),LeaveTracker[结束日期],"&lt;"&amp;DATE(Calendar_Year+1,1,1))</f>
        <v>4</v>
      </c>
      <c r="D20" s="35"/>
      <c r="E20" s="35"/>
      <c r="F20" s="19"/>
      <c r="H20" s="35">
        <f ca="1">NETWORKDAYS(DATE(Calendar_Year,1,1),EDATE(DATE(Calendar_Year,1,1),12)-1)</f>
        <v>260</v>
      </c>
      <c r="I20" s="35"/>
      <c r="J20" s="35"/>
      <c r="K20" s="35"/>
      <c r="L20" s="19"/>
      <c r="N20" s="26">
        <f ca="1">SUMIFS(LeaveTracker[天数],LeaveTracker[员工姓名],valSelEmployee,LeaveTracker[开始日期],"&gt;="&amp;DATE(Calendar_Year,1,1),LeaveTracker[结束日期],"&lt;"&amp;DATE(Calendar_Year+1,1,1),LeaveTracker[休假类型],休假类型!B4)</f>
        <v>1</v>
      </c>
      <c r="O20" s="26"/>
      <c r="P20" s="26"/>
      <c r="Q20" s="19"/>
      <c r="S20" s="27">
        <f ca="1">SUMIFS(LeaveTracker[天数],LeaveTracker[员工姓名],valSelEmployee,LeaveTracker[开始日期],"&gt;="&amp;DATE(Calendar_Year,1,1),LeaveTracker[结束日期],"&lt;"&amp;DATE(Calendar_Year+1,1,1),LeaveTracker[休假类型],休假类型!B5)</f>
        <v>0</v>
      </c>
      <c r="T20" s="27"/>
      <c r="U20" s="27"/>
      <c r="V20" s="19"/>
      <c r="X20" s="32">
        <f ca="1">SUMIFS(LeaveTracker[天数],LeaveTracker[员工姓名],valSelEmployee,LeaveTracker[开始日期],"&gt;="&amp;DATE(Calendar_Year,1,1),LeaveTracker[结束日期],"&lt;"&amp;DATE(Calendar_Year+1,1,1),LeaveTracker[休假类型],休假类型!B6)</f>
        <v>3</v>
      </c>
      <c r="Y20" s="32"/>
      <c r="Z20" s="32"/>
      <c r="AA20" s="19"/>
      <c r="AC20" s="31">
        <f ca="1">SUMIFS(LeaveTracker[天数],LeaveTracker[员工姓名],valSelEmployee,LeaveTracker[开始日期],"&gt;="&amp;DATE(Calendar_Year,1,1),LeaveTracker[结束日期],"&lt;"&amp;DATE(Calendar_Year+1,1,1),LeaveTracker[休假类型],休假类型!B7)</f>
        <v>0</v>
      </c>
      <c r="AD20" s="31"/>
      <c r="AE20" s="31"/>
    </row>
    <row r="21" spans="2:44" ht="21.95" customHeight="1" x14ac:dyDescent="0.3">
      <c r="C21" s="28">
        <f ca="1">SUMIFS(LeaveTracker[天数],LeaveTracker[员工姓名],valSelEmployee,LeaveTracker[开始日期],"&gt;="&amp;DATE(Calendar_Year-1,1,1),LeaveTracker[结束日期],"&lt;"&amp;DATE(Calendar_Year,1,1))</f>
        <v>14</v>
      </c>
      <c r="D21" s="28"/>
      <c r="E21" s="28"/>
      <c r="F21" s="19"/>
      <c r="G21" s="23"/>
      <c r="H21" s="28">
        <f ca="1">NETWORKDAYS(DATE(Calendar_Year-1,1,1),EDATE(DATE(Calendar_Year-1,1,1),12)-1)</f>
        <v>261</v>
      </c>
      <c r="I21" s="28"/>
      <c r="J21" s="28"/>
      <c r="K21" s="28"/>
      <c r="L21" s="19"/>
      <c r="M21" s="24"/>
      <c r="N21" s="28">
        <f ca="1">SUMIFS(LeaveTracker[天数],LeaveTracker[员工姓名],valSelEmployee,LeaveTracker[开始日期],"&gt;="&amp;DATE(Calendar_Year-1,1,1),LeaveTracker[结束日期],"&lt;"&amp;DATE(Calendar_Year,1,1),LeaveTracker[休假类型],休假类型!B4)</f>
        <v>4</v>
      </c>
      <c r="O21" s="28"/>
      <c r="P21" s="28"/>
      <c r="Q21" s="19"/>
      <c r="R21" s="24"/>
      <c r="S21" s="28">
        <f ca="1">SUMIFS(LeaveTracker[天数],LeaveTracker[员工姓名],valSelEmployee,LeaveTracker[开始日期],"&gt;="&amp;DATE(Calendar_Year-1,1,1),LeaveTracker[结束日期],"&lt;"&amp;DATE(Calendar_Year,1,1),LeaveTracker[休假类型],休假类型!B5)</f>
        <v>8</v>
      </c>
      <c r="T21" s="28"/>
      <c r="U21" s="28"/>
      <c r="V21" s="19"/>
      <c r="W21" s="24"/>
      <c r="X21" s="28">
        <f ca="1">SUMIFS(LeaveTracker[天数],LeaveTracker[员工姓名],valSelEmployee,LeaveTracker[开始日期],"&gt;="&amp;DATE(Calendar_Year-1,1,1),LeaveTracker[结束日期],"&lt;"&amp;DATE(Calendar_Year,1,1),LeaveTracker[休假类型],休假类型!B6)</f>
        <v>0</v>
      </c>
      <c r="Y21" s="28"/>
      <c r="Z21" s="28"/>
      <c r="AA21" s="19"/>
      <c r="AB21" s="24"/>
      <c r="AC21" s="28">
        <f ca="1">SUMIFS(LeaveTracker[天数],LeaveTracker[员工姓名],valSelEmployee,LeaveTracker[开始日期],"&gt;="&amp;DATE(Calendar_Year-1,1,1),LeaveTracker[结束日期],"&lt;"&amp;DATE(Calendar_Year,1,1),LeaveTracker[休假类型],休假类型!B7)</f>
        <v>2</v>
      </c>
      <c r="AD21" s="28"/>
      <c r="AE21" s="28"/>
      <c r="AF21" s="25"/>
    </row>
    <row r="22" spans="2:44" ht="21.95" customHeight="1" x14ac:dyDescent="0.3">
      <c r="C22" s="29" t="str">
        <f ca="1">IFERROR(IF(C21&lt;&gt;0,IF(C20&gt;=C21,"增加 ", "减少 ")&amp;TEXT(C20/C21-1,"0%;0%"),"增加 100%"),"")</f>
        <v>减少 71%</v>
      </c>
      <c r="D22" s="29"/>
      <c r="E22" s="29"/>
      <c r="F22" s="19"/>
      <c r="G22" s="23"/>
      <c r="H22" s="37" t="str">
        <f ca="1">IFERROR(IF(H21&lt;&gt;0,IF(H20&gt;=H21,"增加 ", "减少 ")&amp;TEXT(H20/H21-1,"0%;0%"),"增加 100%"),"")</f>
        <v>减少 0%</v>
      </c>
      <c r="I22" s="37"/>
      <c r="J22" s="37"/>
      <c r="K22" s="37"/>
      <c r="L22" s="19"/>
      <c r="M22" s="24"/>
      <c r="N22" s="29" t="str">
        <f ca="1">IFERROR(IF(N21&lt;&gt;0,IF(N20&gt;=N21,"增加 ", "减少 ")&amp;TEXT(N20/N21-1,"0%;0%"),"增加 100%"),"")</f>
        <v>减少 75%</v>
      </c>
      <c r="O22" s="29"/>
      <c r="P22" s="29"/>
      <c r="Q22" s="19"/>
      <c r="R22" s="24"/>
      <c r="S22" s="29" t="str">
        <f ca="1">IFERROR(IF(S21&lt;&gt;0,IF(S20&gt;=S21,"增加 ", "减少 ")&amp;TEXT(S20/S21-1,"0%;0%"),"增加 100%"),"")</f>
        <v>减少 100%</v>
      </c>
      <c r="T22" s="29"/>
      <c r="U22" s="29"/>
      <c r="V22" s="19"/>
      <c r="W22" s="24"/>
      <c r="X22" s="29" t="str">
        <f ca="1">IFERROR(IF(X21&lt;&gt;0,IF(X20&gt;=X21,"增加 ", "减少 ")&amp;TEXT(X20/X21-1,"0%;0%"),"增加 100%"),"")</f>
        <v>增加 100%</v>
      </c>
      <c r="Y22" s="29"/>
      <c r="Z22" s="29"/>
      <c r="AA22" s="19"/>
      <c r="AB22" s="24"/>
      <c r="AC22" s="29" t="str">
        <f ca="1">IFERROR(IF(AC21&lt;&gt;0,IF(AC20&gt;=AC21,"增加 ", "减少 ")&amp;TEXT(AC20/AC21-1,"0%;0%"),"增加 100%"),"")</f>
        <v>减少 100%</v>
      </c>
      <c r="AD22" s="29"/>
      <c r="AE22" s="29"/>
    </row>
  </sheetData>
  <mergeCells count="26">
    <mergeCell ref="C2:I2"/>
    <mergeCell ref="C3:I3"/>
    <mergeCell ref="C22:E22"/>
    <mergeCell ref="N22:P22"/>
    <mergeCell ref="S22:U22"/>
    <mergeCell ref="C19:E19"/>
    <mergeCell ref="C20:E20"/>
    <mergeCell ref="C21:E21"/>
    <mergeCell ref="S21:U21"/>
    <mergeCell ref="H19:K19"/>
    <mergeCell ref="H20:K20"/>
    <mergeCell ref="H21:K21"/>
    <mergeCell ref="H22:K22"/>
    <mergeCell ref="N21:P21"/>
    <mergeCell ref="N19:P19"/>
    <mergeCell ref="S19:U19"/>
    <mergeCell ref="N20:P20"/>
    <mergeCell ref="S20:U20"/>
    <mergeCell ref="AC21:AE21"/>
    <mergeCell ref="AC22:AE22"/>
    <mergeCell ref="AC19:AE19"/>
    <mergeCell ref="AC20:AE20"/>
    <mergeCell ref="X19:Z19"/>
    <mergeCell ref="X20:Z20"/>
    <mergeCell ref="X21:Z21"/>
    <mergeCell ref="X22:Z22"/>
  </mergeCells>
  <phoneticPr fontId="1" type="noConversion"/>
  <conditionalFormatting sqref="C6:AR17">
    <cfRule type="expression" dxfId="59" priority="1">
      <formula>MONTH(C6)&lt;&gt;MONTH($B6)</formula>
    </cfRule>
    <cfRule type="expression" dxfId="58" priority="17">
      <formula>OR(LEFT(C$5,1)="日", COUNTIF(lstHolidays, C6)&gt;0)</formula>
    </cfRule>
    <cfRule type="expression" dxfId="57" priority="18">
      <formula>OR(LEFT(C$5,1)="六", COUNTIF(lstHolidays, C6)&gt;0)</formula>
    </cfRule>
  </conditionalFormatting>
  <conditionalFormatting sqref="C22:AE22">
    <cfRule type="beginsWith" dxfId="56" priority="4" operator="beginsWith" text="增加">
      <formula>LEFT(C22,LEN("增加"))="增加"</formula>
    </cfRule>
  </conditionalFormatting>
  <dataValidations count="16">
    <dataValidation allowBlank="1" showInputMessage="1" showErrorMessage="1" prompt="在此工作簿中查看员工年度考勤。在此工作表中选择员工和年份，了解总体情况" sqref="A1"/>
    <dataValidation allowBlank="1" showInputMessage="1" showErrorMessage="1" prompt="在右侧的 AM2 单元格中选择某个员工的姓名" sqref="J2"/>
    <dataValidation allowBlank="1" showInputMessage="1" showErrorMessage="1" prompt="在右侧的 AM3 单元格中输入年份" sqref="J3"/>
    <dataValidation allowBlank="1" showInputMessage="1" showErrorMessage="1" prompt="此单元格中是工作表标题" sqref="B1"/>
    <dataValidation allowBlank="1" showInputMessage="1" showErrorMessage="1" prompt="此单元格中是主要统计信息标题。在第 19 行到第 22 行之间导航，查看总休假天数、工作天数和其他假期的相关统计信息" sqref="B18"/>
    <dataValidation allowBlank="1" showInputMessage="1" showErrorMessage="1" prompt="所选员工和年份的“考勤记录”表将根据“员工休假跟踪表”工作表中的条目自动更新。此列为一年中的月份" sqref="B5"/>
    <dataValidation allowBlank="1" showInputMessage="1" showErrorMessage="1" prompt="从右侧的单元格中选择员工" sqref="B2"/>
    <dataValidation allowBlank="1" showInputMessage="1" showErrorMessage="1" prompt="在右侧单元格中输入年份" sqref="B3"/>
    <dataValidation type="list" allowBlank="1" showInputMessage="1" showErrorMessage="1" error="从列表中选择员工姓名。选择“取消”，按 Alt+向下键，然后按 Enter 进行选择 " prompt="在此单元格中选择员工姓名。按 Alt+向下键打开下拉列表，然后按 Enter 进行选择" sqref="C2:I2">
      <formula1>lstEmployees</formula1>
    </dataValidation>
    <dataValidation allowBlank="1" showInputMessage="1" showErrorMessage="1" prompt="在此单元格中输入年份" sqref="C3:I3"/>
    <dataValidation allowBlank="1" showInputMessage="1" showErrorMessage="1" prompt="此列左侧是日期所属的月份，而此单元格表明该日期是星期几。仅填充每月的相关日期。将根据表格下面的图例突出显示休假" sqref="C5"/>
    <dataValidation allowBlank="1" showInputMessage="1" showErrorMessage="1" prompt="此行中右侧各单元格自动填充主要统计信息标题" sqref="B19"/>
    <dataValidation allowBlank="1" showInputMessage="1" showErrorMessage="1" prompt="此行中右侧各单元格自动计算主要统计信息值" sqref="B20"/>
    <dataValidation allowBlank="1" showInputMessage="1" showErrorMessage="1" prompt="此行中右侧各单元格自动得出与去年的主要统计信息的比较结果" sqref="B21"/>
    <dataValidation allowBlank="1" showInputMessage="1" showErrorMessage="1" prompt="此行中右侧各单元格内是每项主要统计信息的净变化" sqref="B22"/>
    <dataValidation allowBlank="1" showInputMessage="1" showErrorMessage="1" prompt="B 列显示日期所属的月份，此列中的此标题表明该日期是星期几。单元格突出显示表示休假" sqref="D5:AR5"/>
  </dataValidations>
  <printOptions horizontalCentered="1"/>
  <pageMargins left="0.25" right="0.25" top="0.75" bottom="0.75" header="0.3" footer="0.3"/>
  <pageSetup paperSize="9" scale="63"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7486DEF-4B90-4A09-A027-C628567EDF4C}">
            <xm:f>COUNTIFS(lstEmpNames,valSelEmployee,lstSdates,"&lt;="&amp;C6,lstEDates,"&gt;="&amp;C6,lstHTypes, 休假类型!$B$4)&gt;0</xm:f>
            <x14:dxf>
              <font>
                <color theme="3" tint="-0.24994659260841701"/>
              </font>
              <fill>
                <patternFill>
                  <bgColor theme="4"/>
                </patternFill>
              </fill>
            </x14:dxf>
          </x14:cfRule>
          <xm:sqref>C6:AR17</xm:sqref>
        </x14:conditionalFormatting>
        <x14:conditionalFormatting xmlns:xm="http://schemas.microsoft.com/office/excel/2006/main">
          <x14:cfRule type="expression" priority="9" id="{7BA81481-452F-4533-84C8-E4B1E4D25843}">
            <xm:f>COUNTIFS(lstEmpNames,valSelEmployee,lstSdates,"&lt;="&amp;C6,lstEDates,"&gt;="&amp;C6,lstHTypes, 休假类型!$B$5)&gt;0</xm:f>
            <x14:dxf>
              <fill>
                <patternFill>
                  <bgColor theme="8"/>
                </patternFill>
              </fill>
            </x14:dxf>
          </x14:cfRule>
          <x14:cfRule type="expression" priority="10" id="{7DF86B1D-BC96-4C1F-BA74-43CC1527B439}">
            <xm:f>COUNTIFS(lstEmpNames,valSelEmployee,lstSdates,"&lt;="&amp;C6,lstEDates,"&gt;="&amp;C6,lstHTypes, 休假类型!$B$6)&gt;0</xm:f>
            <x14:dxf>
              <fill>
                <patternFill>
                  <bgColor theme="6"/>
                </patternFill>
              </fill>
            </x14:dxf>
          </x14:cfRule>
          <x14:cfRule type="expression" priority="11" id="{8D7627D3-E4F4-4E54-8BDC-376A6BB31759}">
            <xm:f>COUNTIFS(lstEmpNames,valSelEmployee,lstSdates,"&lt;="&amp;C6,lstEDates,"&gt;="&amp;C6,lstHTypes, 休假类型!$B$7)&gt;0</xm:f>
            <x14:dxf>
              <fill>
                <patternFill>
                  <bgColor theme="7"/>
                </patternFill>
              </fill>
            </x14:dxf>
          </x14:cfRule>
          <xm:sqref>C6:AR17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499984740745262"/>
    <pageSetUpPr autoPageBreaks="0" fitToPage="1"/>
  </sheetPr>
  <dimension ref="B1:F26"/>
  <sheetViews>
    <sheetView showGridLines="0" workbookViewId="0"/>
  </sheetViews>
  <sheetFormatPr defaultRowHeight="30" customHeight="1" x14ac:dyDescent="0.3"/>
  <cols>
    <col min="1" max="1" width="2.77734375" style="1" customWidth="1"/>
    <col min="2" max="2" width="25.77734375" style="1" customWidth="1"/>
    <col min="3" max="4" width="17.44140625" style="1" customWidth="1"/>
    <col min="5" max="5" width="18.5546875" style="1" customWidth="1"/>
    <col min="6" max="6" width="12.44140625" style="1" customWidth="1"/>
    <col min="7" max="7" width="2.77734375" style="1" customWidth="1"/>
    <col min="8" max="16384" width="8.88671875" style="1"/>
  </cols>
  <sheetData>
    <row r="1" spans="2:6" ht="39.950000000000003" customHeight="1" x14ac:dyDescent="0.3">
      <c r="B1" s="5" t="s">
        <v>24</v>
      </c>
    </row>
    <row r="2" spans="2:6" ht="15" customHeight="1" x14ac:dyDescent="0.3"/>
    <row r="3" spans="2:6" ht="30" customHeight="1" x14ac:dyDescent="0.3">
      <c r="B3" s="6" t="s">
        <v>25</v>
      </c>
      <c r="C3" s="6" t="s">
        <v>26</v>
      </c>
      <c r="D3" s="6" t="s">
        <v>27</v>
      </c>
      <c r="E3" s="6" t="s">
        <v>28</v>
      </c>
      <c r="F3" s="6" t="s">
        <v>29</v>
      </c>
    </row>
    <row r="4" spans="2:6" ht="30" customHeight="1" x14ac:dyDescent="0.3">
      <c r="B4" s="4" t="s">
        <v>76</v>
      </c>
      <c r="C4" s="2">
        <f ca="1">DATE(YEAR(TODAY()),1,3)</f>
        <v>42738</v>
      </c>
      <c r="D4" s="2">
        <f ca="1">DATE(YEAR(TODAY()),1,3)</f>
        <v>42738</v>
      </c>
      <c r="E4" s="4" t="s">
        <v>81</v>
      </c>
      <c r="F4" s="3">
        <f ca="1">NETWORKDAYS(LeaveTracker[[#This Row],[开始日期]],LeaveTracker[[#This Row],[结束日期]],lstHolidays)</f>
        <v>1</v>
      </c>
    </row>
    <row r="5" spans="2:6" ht="30" customHeight="1" x14ac:dyDescent="0.3">
      <c r="B5" s="4" t="s">
        <v>77</v>
      </c>
      <c r="C5" s="2">
        <f ca="1">DATE(YEAR(TODAY()),1,17)</f>
        <v>42752</v>
      </c>
      <c r="D5" s="2">
        <f ca="1">DATE(YEAR(TODAY()),1,18)</f>
        <v>42753</v>
      </c>
      <c r="E5" s="4" t="s">
        <v>82</v>
      </c>
      <c r="F5" s="3">
        <f ca="1">NETWORKDAYS(LeaveTracker[[#This Row],[开始日期]],LeaveTracker[[#This Row],[结束日期]],lstHolidays)</f>
        <v>2</v>
      </c>
    </row>
    <row r="6" spans="2:6" ht="30" customHeight="1" x14ac:dyDescent="0.3">
      <c r="B6" s="4" t="s">
        <v>78</v>
      </c>
      <c r="C6" s="2">
        <f ca="1">DATE(YEAR(TODAY()),1,18 )</f>
        <v>42753</v>
      </c>
      <c r="D6" s="2">
        <f ca="1">DATE(YEAR(TODAY()),1,21)</f>
        <v>42756</v>
      </c>
      <c r="E6" s="4" t="s">
        <v>82</v>
      </c>
      <c r="F6" s="3">
        <f ca="1">NETWORKDAYS(LeaveTracker[[#This Row],[开始日期]],LeaveTracker[[#This Row],[结束日期]],lstHolidays)</f>
        <v>3</v>
      </c>
    </row>
    <row r="7" spans="2:6" ht="30" customHeight="1" x14ac:dyDescent="0.3">
      <c r="B7" s="4" t="s">
        <v>79</v>
      </c>
      <c r="C7" s="2">
        <f ca="1">DATE(YEAR(TODAY())-1,12,10 )</f>
        <v>42714</v>
      </c>
      <c r="D7" s="2">
        <f ca="1">DATE(YEAR(TODAY())-1,12,16)</f>
        <v>42720</v>
      </c>
      <c r="E7" s="4" t="s">
        <v>83</v>
      </c>
      <c r="F7" s="3">
        <f ca="1">NETWORKDAYS(LeaveTracker[[#This Row],[开始日期]],LeaveTracker[[#This Row],[结束日期]],lstHolidays)</f>
        <v>5</v>
      </c>
    </row>
    <row r="8" spans="2:6" ht="30" customHeight="1" x14ac:dyDescent="0.3">
      <c r="B8" s="4" t="s">
        <v>80</v>
      </c>
      <c r="C8" s="2">
        <f ca="1">DATE(YEAR(TODAY())-1,12,1  )</f>
        <v>42705</v>
      </c>
      <c r="D8" s="2">
        <f ca="1">DATE(YEAR(TODAY())-1,12,2)</f>
        <v>42706</v>
      </c>
      <c r="E8" s="4" t="s">
        <v>81</v>
      </c>
      <c r="F8" s="3">
        <f ca="1">NETWORKDAYS(LeaveTracker[[#This Row],[开始日期]],LeaveTracker[[#This Row],[结束日期]],lstHolidays)</f>
        <v>2</v>
      </c>
    </row>
    <row r="9" spans="2:6" ht="30" customHeight="1" x14ac:dyDescent="0.3">
      <c r="B9" s="4" t="s">
        <v>76</v>
      </c>
      <c r="C9" s="2">
        <f ca="1">DATE(YEAR(TODAY())-1,11,14  )</f>
        <v>42688</v>
      </c>
      <c r="D9" s="2">
        <f ca="1">DATE(YEAR(TODAY())-1,11,18)</f>
        <v>42692</v>
      </c>
      <c r="E9" s="4" t="s">
        <v>84</v>
      </c>
      <c r="F9" s="3">
        <f ca="1">NETWORKDAYS(LeaveTracker[[#This Row],[开始日期]],LeaveTracker[[#This Row],[结束日期]],lstHolidays)</f>
        <v>5</v>
      </c>
    </row>
    <row r="10" spans="2:6" ht="30" customHeight="1" x14ac:dyDescent="0.3">
      <c r="B10" s="4" t="s">
        <v>80</v>
      </c>
      <c r="C10" s="2">
        <f ca="1">DATE(YEAR(TODAY()),1,31 )</f>
        <v>42766</v>
      </c>
      <c r="D10" s="2">
        <f ca="1">DATE(YEAR(TODAY()),2,4)</f>
        <v>42770</v>
      </c>
      <c r="E10" s="4" t="s">
        <v>81</v>
      </c>
      <c r="F10" s="3">
        <f ca="1">NETWORKDAYS(LeaveTracker[[#This Row],[开始日期]],LeaveTracker[[#This Row],[结束日期]],lstHolidays)</f>
        <v>4</v>
      </c>
    </row>
    <row r="11" spans="2:6" ht="30" customHeight="1" x14ac:dyDescent="0.3">
      <c r="B11" s="4" t="s">
        <v>80</v>
      </c>
      <c r="C11" s="2">
        <f ca="1">DATE(YEAR(TODAY())-1,12,1  )</f>
        <v>42705</v>
      </c>
      <c r="D11" s="2">
        <f ca="1">DATE(YEAR(TODAY())-1,12,6)</f>
        <v>42710</v>
      </c>
      <c r="E11" s="4" t="s">
        <v>82</v>
      </c>
      <c r="F11" s="3">
        <f ca="1">NETWORKDAYS(LeaveTracker[[#This Row],[开始日期]],LeaveTracker[[#This Row],[结束日期]],lstHolidays)</f>
        <v>4</v>
      </c>
    </row>
    <row r="12" spans="2:6" ht="30" customHeight="1" x14ac:dyDescent="0.3">
      <c r="B12" s="4" t="s">
        <v>80</v>
      </c>
      <c r="C12" s="2">
        <f ca="1">DATE(YEAR(TODAY())-1,12,10  )</f>
        <v>42714</v>
      </c>
      <c r="D12" s="2">
        <f ca="1">DATE(YEAR(TODAY())-1,12,16)</f>
        <v>42720</v>
      </c>
      <c r="E12" s="4" t="s">
        <v>82</v>
      </c>
      <c r="F12" s="3">
        <f ca="1">NETWORKDAYS(LeaveTracker[[#This Row],[开始日期]],LeaveTracker[[#This Row],[结束日期]],lstHolidays)</f>
        <v>5</v>
      </c>
    </row>
    <row r="13" spans="2:6" ht="30" customHeight="1" x14ac:dyDescent="0.3">
      <c r="B13" s="4" t="s">
        <v>77</v>
      </c>
      <c r="C13" s="2">
        <f ca="1">DATE(YEAR(TODAY()),1,13 )</f>
        <v>42748</v>
      </c>
      <c r="D13" s="2">
        <f ca="1">DATE(YEAR(TODAY()),1,15)</f>
        <v>42750</v>
      </c>
      <c r="E13" s="4" t="s">
        <v>81</v>
      </c>
      <c r="F13" s="3">
        <f ca="1">NETWORKDAYS(LeaveTracker[[#This Row],[开始日期]],LeaveTracker[[#This Row],[结束日期]],lstHolidays)</f>
        <v>1</v>
      </c>
    </row>
    <row r="14" spans="2:6" ht="30" customHeight="1" x14ac:dyDescent="0.3">
      <c r="B14" s="4" t="s">
        <v>79</v>
      </c>
      <c r="C14" s="2">
        <f ca="1">DATE(YEAR(TODAY()),1,15 )</f>
        <v>42750</v>
      </c>
      <c r="D14" s="2">
        <f ca="1">DATE(YEAR(TODAY()),1,20)</f>
        <v>42755</v>
      </c>
      <c r="E14" s="4" t="s">
        <v>81</v>
      </c>
      <c r="F14" s="3">
        <f ca="1">NETWORKDAYS(LeaveTracker[[#This Row],[开始日期]],LeaveTracker[[#This Row],[结束日期]],lstHolidays)</f>
        <v>5</v>
      </c>
    </row>
    <row r="15" spans="2:6" ht="30" customHeight="1" x14ac:dyDescent="0.3">
      <c r="B15" s="4" t="s">
        <v>77</v>
      </c>
      <c r="C15" s="2">
        <f ca="1">DATE(YEAR(TODAY()),6,13 )</f>
        <v>42899</v>
      </c>
      <c r="D15" s="2">
        <f ca="1">DATE(YEAR(TODAY()),6,15)</f>
        <v>42901</v>
      </c>
      <c r="E15" s="4" t="s">
        <v>83</v>
      </c>
      <c r="F15" s="3">
        <f ca="1">NETWORKDAYS(LeaveTracker[[#This Row],[开始日期]],LeaveTracker[[#This Row],[结束日期]],lstHolidays)</f>
        <v>3</v>
      </c>
    </row>
    <row r="16" spans="2:6" ht="30" customHeight="1" x14ac:dyDescent="0.3">
      <c r="B16" s="4" t="s">
        <v>79</v>
      </c>
      <c r="C16" s="2">
        <f ca="1">DATE(YEAR(TODAY()),1,27 )</f>
        <v>42762</v>
      </c>
      <c r="D16" s="2">
        <f ca="1">DATE(YEAR(TODAY()),2,3)</f>
        <v>42769</v>
      </c>
      <c r="E16" s="4" t="s">
        <v>83</v>
      </c>
      <c r="F16" s="3">
        <f ca="1">NETWORKDAYS(LeaveTracker[[#This Row],[开始日期]],LeaveTracker[[#This Row],[结束日期]],lstHolidays)</f>
        <v>6</v>
      </c>
    </row>
    <row r="17" spans="2:6" ht="30" customHeight="1" x14ac:dyDescent="0.3">
      <c r="B17" s="4" t="s">
        <v>78</v>
      </c>
      <c r="C17" s="2">
        <f ca="1">DATE(YEAR(TODAY()),1,17 )</f>
        <v>42752</v>
      </c>
      <c r="D17" s="2">
        <f ca="1">DATE(YEAR(TODAY()),1,18)</f>
        <v>42753</v>
      </c>
      <c r="E17" s="4" t="s">
        <v>84</v>
      </c>
      <c r="F17" s="3">
        <f ca="1">NETWORKDAYS(LeaveTracker[[#This Row],[开始日期]],LeaveTracker[[#This Row],[结束日期]],lstHolidays)</f>
        <v>2</v>
      </c>
    </row>
    <row r="18" spans="2:6" ht="30" customHeight="1" x14ac:dyDescent="0.3">
      <c r="B18" s="4" t="s">
        <v>78</v>
      </c>
      <c r="C18" s="2">
        <f ca="1">DATE(YEAR(TODAY())-1,12,12 )</f>
        <v>42716</v>
      </c>
      <c r="D18" s="2">
        <f ca="1">DATE(YEAR(TODAY())-1,12,17)</f>
        <v>42721</v>
      </c>
      <c r="E18" s="4" t="s">
        <v>83</v>
      </c>
      <c r="F18" s="3">
        <f ca="1">NETWORKDAYS(LeaveTracker[[#This Row],[开始日期]],LeaveTracker[[#This Row],[结束日期]],lstHolidays)</f>
        <v>5</v>
      </c>
    </row>
    <row r="19" spans="2:6" ht="30" customHeight="1" x14ac:dyDescent="0.3">
      <c r="B19" s="4" t="s">
        <v>76</v>
      </c>
      <c r="C19" s="2">
        <f ca="1">DATE(YEAR(TODAY())-1,12,21  )</f>
        <v>42725</v>
      </c>
      <c r="D19" s="2">
        <f ca="1">DATE(YEAR(TODAY())-1,12,22)</f>
        <v>42726</v>
      </c>
      <c r="E19" s="4" t="s">
        <v>82</v>
      </c>
      <c r="F19" s="3">
        <f ca="1">NETWORKDAYS(LeaveTracker[[#This Row],[开始日期]],LeaveTracker[[#This Row],[结束日期]],lstHolidays)</f>
        <v>2</v>
      </c>
    </row>
    <row r="20" spans="2:6" ht="30" customHeight="1" x14ac:dyDescent="0.3">
      <c r="B20" s="4" t="s">
        <v>76</v>
      </c>
      <c r="C20" s="2">
        <f ca="1">DATE(YEAR(TODAY())-1,12,14  )</f>
        <v>42718</v>
      </c>
      <c r="D20" s="2">
        <f ca="1">DATE(YEAR(TODAY())-1,12,16)</f>
        <v>42720</v>
      </c>
      <c r="E20" s="4" t="s">
        <v>84</v>
      </c>
      <c r="F20" s="3">
        <f ca="1">NETWORKDAYS(LeaveTracker[[#This Row],[开始日期]],LeaveTracker[[#This Row],[结束日期]],lstHolidays)</f>
        <v>3</v>
      </c>
    </row>
    <row r="21" spans="2:6" ht="30" customHeight="1" x14ac:dyDescent="0.3">
      <c r="B21" s="4" t="s">
        <v>77</v>
      </c>
      <c r="C21" s="2">
        <f ca="1">DATE(YEAR(TODAY())-1,11,29  )</f>
        <v>42703</v>
      </c>
      <c r="D21" s="2">
        <f ca="1">DATE(YEAR(TODAY())-1,12,6)</f>
        <v>42710</v>
      </c>
      <c r="E21" s="4" t="s">
        <v>83</v>
      </c>
      <c r="F21" s="3">
        <f ca="1">NETWORKDAYS(LeaveTracker[[#This Row],[开始日期]],LeaveTracker[[#This Row],[结束日期]],lstHolidays)</f>
        <v>6</v>
      </c>
    </row>
    <row r="22" spans="2:6" ht="30" customHeight="1" x14ac:dyDescent="0.3">
      <c r="B22" s="4" t="s">
        <v>79</v>
      </c>
      <c r="C22" s="2">
        <f ca="1">DATE(YEAR(TODAY())-1,12,3  )</f>
        <v>42707</v>
      </c>
      <c r="D22" s="2">
        <f ca="1">DATE(YEAR(TODAY())-1,12,7)</f>
        <v>42711</v>
      </c>
      <c r="E22" s="4" t="s">
        <v>84</v>
      </c>
      <c r="F22" s="3">
        <f ca="1">NETWORKDAYS(LeaveTracker[[#This Row],[开始日期]],LeaveTracker[[#This Row],[结束日期]],lstHolidays)</f>
        <v>3</v>
      </c>
    </row>
    <row r="23" spans="2:6" ht="30" customHeight="1" x14ac:dyDescent="0.3">
      <c r="B23" s="4" t="s">
        <v>76</v>
      </c>
      <c r="C23" s="2">
        <f ca="1">DATE(YEAR(TODAY()),1,31 )</f>
        <v>42766</v>
      </c>
      <c r="D23" s="2">
        <f ca="1">DATE(YEAR(TODAY()),2,2)</f>
        <v>42768</v>
      </c>
      <c r="E23" s="4" t="s">
        <v>83</v>
      </c>
      <c r="F23" s="3">
        <f ca="1">NETWORKDAYS(LeaveTracker[[#This Row],[开始日期]],LeaveTracker[[#This Row],[结束日期]],lstHolidays)</f>
        <v>3</v>
      </c>
    </row>
    <row r="24" spans="2:6" ht="30" customHeight="1" x14ac:dyDescent="0.3">
      <c r="B24" s="4" t="s">
        <v>76</v>
      </c>
      <c r="C24" s="2">
        <f ca="1">DATE(YEAR(TODAY())-1,11,24 )</f>
        <v>42698</v>
      </c>
      <c r="D24" s="2">
        <f ca="1">DATE(YEAR(TODAY())-1,11,29)</f>
        <v>42703</v>
      </c>
      <c r="E24" s="4" t="s">
        <v>81</v>
      </c>
      <c r="F24" s="3">
        <f ca="1">NETWORKDAYS(LeaveTracker[[#This Row],[开始日期]],LeaveTracker[[#This Row],[结束日期]],lstHolidays)</f>
        <v>4</v>
      </c>
    </row>
    <row r="25" spans="2:6" ht="30" customHeight="1" x14ac:dyDescent="0.3">
      <c r="B25" s="4" t="s">
        <v>77</v>
      </c>
      <c r="C25" s="2">
        <f ca="1">DATE(YEAR(TODAY()),12,5 )</f>
        <v>43074</v>
      </c>
      <c r="D25" s="2">
        <f ca="1">DATE(YEAR(TODAY()),12,9)</f>
        <v>43078</v>
      </c>
      <c r="E25" s="4" t="s">
        <v>84</v>
      </c>
      <c r="F25" s="3">
        <f ca="1">NETWORKDAYS(LeaveTracker[[#This Row],[开始日期]],LeaveTracker[[#This Row],[结束日期]],lstHolidays)</f>
        <v>4</v>
      </c>
    </row>
    <row r="26" spans="2:6" ht="30" customHeight="1" x14ac:dyDescent="0.3">
      <c r="B26" s="4" t="s">
        <v>79</v>
      </c>
      <c r="C26" s="2">
        <f ca="1">DATE(YEAR(TODAY()),4,11 )</f>
        <v>42836</v>
      </c>
      <c r="D26" s="2">
        <f ca="1">DATE(YEAR(TODAY()),4,19)</f>
        <v>42844</v>
      </c>
      <c r="E26" s="4" t="s">
        <v>84</v>
      </c>
      <c r="F26" s="3">
        <f ca="1">NETWORKDAYS(LeaveTracker[[#This Row],[开始日期]],LeaveTracker[[#This Row],[结束日期]],lstHolidays)</f>
        <v>7</v>
      </c>
    </row>
  </sheetData>
  <phoneticPr fontId="1" type="noConversion"/>
  <dataValidations count="11">
    <dataValidation type="list" errorStyle="warning" allowBlank="1" showInputMessage="1" showErrorMessage="1" error="从列表中选择休假类型。选择“取消”，然后按 Alt+向下键从下拉列表中选择休假类型" sqref="E4:E26">
      <formula1>lstHolidayTypes</formula1>
    </dataValidation>
    <dataValidation allowBlank="1" showInputMessage="1" showErrorMessage="1" prompt="在此工作表的表格中记录员工休假情况" sqref="A1"/>
    <dataValidation allowBlank="1" showInputMessage="1" showErrorMessage="1" prompt="下表用于在“日历视图”中自动更新员工的年度考勤记录。使用表格筛选器获取特定员工或休假类型的记录" sqref="B2"/>
    <dataValidation allowBlank="1" showInputMessage="1" showErrorMessage="1" prompt="在此列中选择员工姓名。按 Alt+向下键打开下拉列表，然后按 Enter 选择员工姓名" sqref="B3"/>
    <dataValidation type="list" errorStyle="warning" allowBlank="1" showInputMessage="1" showErrorMessage="1" error="从列表中选择员工姓名。选择“取消”，然后按 Alt+向下键从下拉列表中选择员工姓名" sqref="B4:B26">
      <formula1>lstEmployees</formula1>
    </dataValidation>
    <dataValidation allowBlank="1" showInputMessage="1" showErrorMessage="1" prompt="在此列中输入休假开始日期_x000a_" sqref="C3"/>
    <dataValidation allowBlank="1" showInputMessage="1" showErrorMessage="1" prompt="在此列中输入休假结束日期" sqref="D3"/>
    <dataValidation allowBlank="1" showInputMessage="1" showErrorMessage="1" prompt="在此列中选择休假类型。按 Alt+向下键打开下拉列表，然后按 Enter 选择休假类型" sqref="E3"/>
    <dataValidation allowBlank="1" showInputMessage="1" showErrorMessage="1" prompt="此列自动计算总天数" sqref="F3"/>
    <dataValidation allowBlank="1" showInputMessage="1" showErrorMessage="1" prompt="此单元格中是工作表标题" sqref="B1"/>
    <dataValidation type="list" errorStyle="information" allowBlank="1" showInputMessage="1" showErrorMessage="1" errorTitle="未知的员工" error="请从列表中选择员工。若要修改列表，请在“设置”选项卡上，添加或删除“员工名单”表格中的员工。" sqref="B27:B740">
      <formula1>lstEmployees</formula1>
    </dataValidation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  <pageSetUpPr fitToPage="1"/>
  </sheetPr>
  <dimension ref="B1:B8"/>
  <sheetViews>
    <sheetView showGridLines="0" workbookViewId="0"/>
  </sheetViews>
  <sheetFormatPr defaultRowHeight="30" customHeight="1" x14ac:dyDescent="0.3"/>
  <cols>
    <col min="1" max="1" width="2.77734375" style="1" customWidth="1"/>
    <col min="2" max="2" width="26.77734375" style="1" customWidth="1"/>
    <col min="3" max="3" width="3.44140625" style="1" customWidth="1"/>
    <col min="4" max="16384" width="8.88671875" style="1"/>
  </cols>
  <sheetData>
    <row r="1" spans="2:2" ht="39.950000000000003" customHeight="1" x14ac:dyDescent="0.3">
      <c r="B1" s="5" t="s">
        <v>30</v>
      </c>
    </row>
    <row r="2" spans="2:2" ht="15" customHeight="1" x14ac:dyDescent="0.3"/>
    <row r="3" spans="2:2" ht="30" customHeight="1" x14ac:dyDescent="0.3">
      <c r="B3" s="6" t="s">
        <v>25</v>
      </c>
    </row>
    <row r="4" spans="2:2" ht="30" customHeight="1" x14ac:dyDescent="0.3">
      <c r="B4" s="4" t="s">
        <v>76</v>
      </c>
    </row>
    <row r="5" spans="2:2" ht="30" customHeight="1" x14ac:dyDescent="0.3">
      <c r="B5" s="4" t="s">
        <v>77</v>
      </c>
    </row>
    <row r="6" spans="2:2" ht="30" customHeight="1" x14ac:dyDescent="0.3">
      <c r="B6" s="4" t="s">
        <v>78</v>
      </c>
    </row>
    <row r="7" spans="2:2" ht="30" customHeight="1" x14ac:dyDescent="0.3">
      <c r="B7" s="4" t="s">
        <v>80</v>
      </c>
    </row>
    <row r="8" spans="2:2" ht="30" customHeight="1" x14ac:dyDescent="0.3">
      <c r="B8" s="4" t="s">
        <v>79</v>
      </c>
    </row>
  </sheetData>
  <phoneticPr fontId="1" type="noConversion"/>
  <dataValidations count="3">
    <dataValidation allowBlank="1" showInputMessage="1" showErrorMessage="1" prompt="在此工作表中添加员工。此表格中的条目用作“日历视图”和“员工休假跟踪表”工作表中的选项" sqref="A1"/>
    <dataValidation allowBlank="1" showInputMessage="1" showErrorMessage="1" prompt="此单元格中是工作表标题" sqref="B1"/>
    <dataValidation allowBlank="1" showInputMessage="1" showErrorMessage="1" prompt="此标题下的列中是员工姓名" sqref="B3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  <pageSetUpPr fitToPage="1"/>
  </sheetPr>
  <dimension ref="B1:B7"/>
  <sheetViews>
    <sheetView showGridLines="0" workbookViewId="0"/>
  </sheetViews>
  <sheetFormatPr defaultRowHeight="30" customHeight="1" x14ac:dyDescent="0.3"/>
  <cols>
    <col min="1" max="1" width="2.77734375" style="1" customWidth="1"/>
    <col min="2" max="2" width="26.77734375" style="1" customWidth="1"/>
    <col min="3" max="3" width="3.44140625" style="1" customWidth="1"/>
    <col min="4" max="16384" width="8.88671875" style="1"/>
  </cols>
  <sheetData>
    <row r="1" spans="2:2" ht="39.950000000000003" customHeight="1" x14ac:dyDescent="0.3">
      <c r="B1" s="5" t="s">
        <v>28</v>
      </c>
    </row>
    <row r="2" spans="2:2" ht="15" customHeight="1" x14ac:dyDescent="0.3"/>
    <row r="3" spans="2:2" ht="30" customHeight="1" x14ac:dyDescent="0.3">
      <c r="B3" s="6" t="s">
        <v>31</v>
      </c>
    </row>
    <row r="4" spans="2:2" ht="30" customHeight="1" x14ac:dyDescent="0.3">
      <c r="B4" s="4" t="s">
        <v>81</v>
      </c>
    </row>
    <row r="5" spans="2:2" ht="30" customHeight="1" x14ac:dyDescent="0.3">
      <c r="B5" s="4" t="s">
        <v>84</v>
      </c>
    </row>
    <row r="6" spans="2:2" ht="30" customHeight="1" x14ac:dyDescent="0.3">
      <c r="B6" s="4" t="s">
        <v>83</v>
      </c>
    </row>
    <row r="7" spans="2:2" ht="30" customHeight="1" x14ac:dyDescent="0.3">
      <c r="B7" s="4" t="s">
        <v>82</v>
      </c>
    </row>
  </sheetData>
  <phoneticPr fontId="1" type="noConversion"/>
  <dataValidations count="3">
    <dataValidation allowBlank="1" showInputMessage="1" showErrorMessage="1" prompt="在此标题下的列中输入休假类型" sqref="B3"/>
    <dataValidation allowBlank="1" showInputMessage="1" showErrorMessage="1" prompt="在此工作表的表格中输入休假类型。这些条目将用作“员工休假跟踪表”工作表中“休假跟踪表”表格的选项" sqref="A1"/>
    <dataValidation allowBlank="1" showInputMessage="1" showErrorMessage="1" prompt="此单元格中是工作表标题" sqref="B1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  <pageSetUpPr fitToPage="1"/>
  </sheetPr>
  <dimension ref="B1:C9"/>
  <sheetViews>
    <sheetView showGridLines="0" workbookViewId="0"/>
  </sheetViews>
  <sheetFormatPr defaultRowHeight="30" customHeight="1" x14ac:dyDescent="0.3"/>
  <cols>
    <col min="1" max="1" width="2.77734375" style="1" customWidth="1"/>
    <col min="2" max="2" width="26.77734375" style="1" customWidth="1"/>
    <col min="3" max="3" width="25.77734375" style="1" customWidth="1"/>
    <col min="4" max="4" width="2.77734375" style="1" customWidth="1"/>
    <col min="5" max="16384" width="8.88671875" style="1"/>
  </cols>
  <sheetData>
    <row r="1" spans="2:3" ht="39.950000000000003" customHeight="1" x14ac:dyDescent="0.3">
      <c r="B1" s="5" t="s">
        <v>32</v>
      </c>
    </row>
    <row r="2" spans="2:3" ht="15" customHeight="1" x14ac:dyDescent="0.3"/>
    <row r="3" spans="2:3" ht="30" customHeight="1" x14ac:dyDescent="0.3">
      <c r="B3" s="6" t="s">
        <v>32</v>
      </c>
      <c r="C3" s="6" t="s">
        <v>33</v>
      </c>
    </row>
    <row r="4" spans="2:3" ht="30" customHeight="1" x14ac:dyDescent="0.3">
      <c r="B4" s="2">
        <f ca="1">DATE(YEAR(TODAY()),1,1)</f>
        <v>42736</v>
      </c>
      <c r="C4" s="4" t="s">
        <v>85</v>
      </c>
    </row>
    <row r="5" spans="2:3" ht="30" customHeight="1" x14ac:dyDescent="0.3">
      <c r="B5" s="2">
        <f ca="1">DATE(YEAR(TODAY()),7,4)</f>
        <v>42920</v>
      </c>
      <c r="C5" s="4" t="s">
        <v>86</v>
      </c>
    </row>
    <row r="6" spans="2:3" ht="30" customHeight="1" x14ac:dyDescent="0.3">
      <c r="B6" s="2">
        <f ca="1">DATE(YEAR(TODAY()),11,24)</f>
        <v>43063</v>
      </c>
      <c r="C6" s="4" t="s">
        <v>87</v>
      </c>
    </row>
    <row r="7" spans="2:3" ht="30" customHeight="1" x14ac:dyDescent="0.3">
      <c r="B7" s="2">
        <f ca="1">DATE(YEAR(TODAY()),11,25)</f>
        <v>43064</v>
      </c>
      <c r="C7" s="4" t="s">
        <v>87</v>
      </c>
    </row>
    <row r="8" spans="2:3" ht="30" customHeight="1" x14ac:dyDescent="0.3">
      <c r="B8" s="2">
        <f ca="1">DATE(YEAR(TODAY()),12,24)</f>
        <v>43093</v>
      </c>
      <c r="C8" s="4" t="s">
        <v>88</v>
      </c>
    </row>
    <row r="9" spans="2:3" ht="30" customHeight="1" x14ac:dyDescent="0.3">
      <c r="B9" s="2">
        <f ca="1">DATE(YEAR(TODAY()),12,25)</f>
        <v>43094</v>
      </c>
      <c r="C9" s="4" t="s">
        <v>88</v>
      </c>
    </row>
  </sheetData>
  <phoneticPr fontId="1" type="noConversion"/>
  <dataValidations count="4">
    <dataValidation allowBlank="1" showInputMessage="1" showErrorMessage="1" prompt="在此标题下的列中输入假期日期" sqref="B3"/>
    <dataValidation allowBlank="1" showInputMessage="1" showErrorMessage="1" prompt="在此标题下的列中输入说明" sqref="C3"/>
    <dataValidation allowBlank="1" showInputMessage="1" showErrorMessage="1" prompt="在此工作表的表格中输入公司假期" sqref="A1"/>
    <dataValidation allowBlank="1" showInputMessage="1" showErrorMessage="1" prompt="此单元格中是工作表标题" sqref="B1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16</vt:i4>
      </vt:variant>
    </vt:vector>
  </HeadingPairs>
  <TitlesOfParts>
    <vt:vector size="21" baseType="lpstr">
      <vt:lpstr>日历视图</vt:lpstr>
      <vt:lpstr>员工休假跟踪表</vt:lpstr>
      <vt:lpstr>员工名单</vt:lpstr>
      <vt:lpstr>休假类型</vt:lpstr>
      <vt:lpstr>公司假期</vt:lpstr>
      <vt:lpstr>Calendar_Year</vt:lpstr>
      <vt:lpstr>ColumnTitle3</vt:lpstr>
      <vt:lpstr>ColumnTitle4</vt:lpstr>
      <vt:lpstr>ColumnTitle5</vt:lpstr>
      <vt:lpstr>ColumnTitleRegion..AC22.1</vt:lpstr>
      <vt:lpstr>lstEDates</vt:lpstr>
      <vt:lpstr>lstEmployees</vt:lpstr>
      <vt:lpstr>lstEmpNames</vt:lpstr>
      <vt:lpstr>lstHolidays</vt:lpstr>
      <vt:lpstr>lstHolidayTypes</vt:lpstr>
      <vt:lpstr>lstHTypes</vt:lpstr>
      <vt:lpstr>lstSdates</vt:lpstr>
      <vt:lpstr>Title1</vt:lpstr>
      <vt:lpstr>Title2</vt:lpstr>
      <vt:lpstr>valSelEmployee</vt:lpstr>
      <vt:lpstr>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</dc:creator>
  <cp:lastModifiedBy>king</cp:lastModifiedBy>
  <dcterms:created xsi:type="dcterms:W3CDTF">2016-12-03T09:43:22Z</dcterms:created>
  <dcterms:modified xsi:type="dcterms:W3CDTF">2017-09-28T13:45:39Z</dcterms:modified>
</cp:coreProperties>
</file>