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/>
  <workbookPr filterPrivacy="1" codeName="ThisWorkbook"/>
  <bookViews>
    <workbookView xWindow="0" yWindow="0" windowWidth="20490" windowHeight="7515"/>
  </bookViews>
  <sheets>
    <sheet name="回复跟踪器" sheetId="1" r:id="rId1"/>
    <sheet name="回复汇总" sheetId="2" r:id="rId2"/>
  </sheets>
  <definedNames>
    <definedName name="_xlnm.Print_Area" localSheetId="0">回复跟踪器!$A$1:$O$30</definedName>
    <definedName name="_xlnm.Print_Area" localSheetId="1">回复汇总!$A$1:$S$23</definedName>
    <definedName name="TotalOutstanding">邀请人数[[#Totals],[已发送？]]-邀请人数[[#Totals],[回复]]</definedName>
    <definedName name="不出席总人数">回复跟踪器!$A$17</definedName>
    <definedName name="出席总人数">回复跟踪器!$A$14</definedName>
    <definedName name="打印区域" localSheetId="0">回复跟踪器!$E$7:$P$18</definedName>
    <definedName name="打印区域" localSheetId="1">回复汇总!$D$4:$Q$19</definedName>
    <definedName name="婚礼日期">回复跟踪器!$A$7</definedName>
    <definedName name="剩余天数">回复跟踪器!$A$10</definedName>
    <definedName name="未定_请尽快回复">回复跟踪器!$A$21</definedName>
  </definedNames>
  <calcPr calcId="171027"/>
</workbook>
</file>

<file path=xl/calcChain.xml><?xml version="1.0" encoding="utf-8"?>
<calcChain xmlns="http://schemas.openxmlformats.org/spreadsheetml/2006/main">
  <c r="A7" i="1" l="1"/>
  <c r="H14" i="2" l="1"/>
  <c r="H13" i="2"/>
  <c r="H15" i="2"/>
  <c r="H9" i="2"/>
  <c r="H8" i="2"/>
  <c r="H10" i="2"/>
  <c r="A7" i="2" l="1"/>
  <c r="A17" i="2" l="1"/>
  <c r="A10" i="1" l="1"/>
  <c r="H19" i="1" l="1"/>
  <c r="A14" i="1"/>
  <c r="G19" i="1"/>
  <c r="F19" i="1"/>
  <c r="I15" i="2" l="1"/>
  <c r="I10" i="2"/>
  <c r="I14" i="2"/>
  <c r="I8" i="2"/>
  <c r="I13" i="2"/>
  <c r="I9" i="2"/>
  <c r="A18" i="2"/>
  <c r="A19" i="2" s="1"/>
  <c r="A17" i="1"/>
  <c r="A21" i="1" s="1"/>
</calcChain>
</file>

<file path=xl/sharedStrings.xml><?xml version="1.0" encoding="utf-8"?>
<sst xmlns="http://schemas.openxmlformats.org/spreadsheetml/2006/main" count="121" uniqueCount="68">
  <si>
    <t>someone@example.com</t>
  </si>
  <si>
    <t>婚礼邀请追踪器</t>
    <phoneticPr fontId="7" type="noConversion"/>
  </si>
  <si>
    <t>来宾姓名</t>
    <phoneticPr fontId="7" type="noConversion"/>
  </si>
  <si>
    <t>顾一明</t>
  </si>
  <si>
    <t>戴戈菲</t>
  </si>
  <si>
    <t>艾兰</t>
  </si>
  <si>
    <t>桂建杰</t>
  </si>
  <si>
    <t>腾丽茗</t>
  </si>
  <si>
    <t>区杰</t>
  </si>
  <si>
    <t>崔樱</t>
  </si>
  <si>
    <t>艾奎</t>
  </si>
  <si>
    <t>曹梅</t>
  </si>
  <si>
    <t>麦坤</t>
  </si>
  <si>
    <t>张颖</t>
  </si>
  <si>
    <t>随行人数</t>
  </si>
  <si>
    <t>来宾</t>
  </si>
  <si>
    <t>关系</t>
  </si>
  <si>
    <t>地址</t>
  </si>
  <si>
    <t>城市</t>
  </si>
  <si>
    <t>省/市/自治区</t>
  </si>
  <si>
    <t>邮政编码</t>
  </si>
  <si>
    <t>电话</t>
  </si>
  <si>
    <t>电子邮件</t>
  </si>
  <si>
    <t>是</t>
  </si>
  <si>
    <t>是</t>
    <phoneticPr fontId="7" type="noConversion"/>
  </si>
  <si>
    <t>否</t>
  </si>
  <si>
    <t>否</t>
    <phoneticPr fontId="7" type="noConversion"/>
  </si>
  <si>
    <t>已发送？</t>
    <phoneticPr fontId="7" type="noConversion"/>
  </si>
  <si>
    <t>回复</t>
    <phoneticPr fontId="7" type="noConversion"/>
  </si>
  <si>
    <t>新娘</t>
  </si>
  <si>
    <t>其他</t>
  </si>
  <si>
    <t>新郎</t>
  </si>
  <si>
    <t>兄弟</t>
  </si>
  <si>
    <t>朋友</t>
    <phoneticPr fontId="7" type="noConversion"/>
  </si>
  <si>
    <t>朋友</t>
  </si>
  <si>
    <t>总计:</t>
    <phoneticPr fontId="7" type="noConversion"/>
  </si>
  <si>
    <t>林荫道 123 号</t>
  </si>
  <si>
    <t>第一大街 456 号</t>
  </si>
  <si>
    <t>小阳胡同 6789 号</t>
  </si>
  <si>
    <t>西安大道 1234 号</t>
  </si>
  <si>
    <t>丁字街 890 号</t>
  </si>
  <si>
    <t>柳杨大道 345 号</t>
  </si>
  <si>
    <t>一号路 678 号</t>
  </si>
  <si>
    <t>青松街 1234 号</t>
  </si>
  <si>
    <t>北海大道 34 号</t>
  </si>
  <si>
    <t>中央广场 456 号</t>
  </si>
  <si>
    <t>山顶路 2345 号</t>
  </si>
  <si>
    <t>阳江</t>
  </si>
  <si>
    <t>平顶山</t>
  </si>
  <si>
    <t>包头</t>
  </si>
  <si>
    <t>大理</t>
  </si>
  <si>
    <t>大同</t>
  </si>
  <si>
    <t>惠州</t>
  </si>
  <si>
    <t>珠海</t>
  </si>
  <si>
    <t>芜湖</t>
  </si>
  <si>
    <t>广东省</t>
  </si>
  <si>
    <t>河南省</t>
  </si>
  <si>
    <t>内蒙古</t>
  </si>
  <si>
    <t>云南省</t>
  </si>
  <si>
    <t>山西省</t>
  </si>
  <si>
    <t>安徽省</t>
  </si>
  <si>
    <t>回复汇总</t>
    <phoneticPr fontId="7" type="noConversion"/>
  </si>
  <si>
    <t>备注</t>
    <phoneticPr fontId="7" type="noConversion"/>
  </si>
  <si>
    <t>其他</t>
    <phoneticPr fontId="7" type="noConversion"/>
  </si>
  <si>
    <t>新郎</t>
    <phoneticPr fontId="7" type="noConversion"/>
  </si>
  <si>
    <t>新娘</t>
    <phoneticPr fontId="7" type="noConversion"/>
  </si>
  <si>
    <t>新娘</t>
    <phoneticPr fontId="7" type="noConversion"/>
  </si>
  <si>
    <t>其他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</si>
</sst>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_(* #,##0.00_);_(* \!\!\!\(#,##0.00\!\!\!\);_(* &quot;-&quot;??_);_(@_)"/>
    <numFmt numFmtId="177" formatCode="[&lt;=9999999]###\!\!\!\-####;\!\!\!\(###\!\!\!\)\!\!\!\ ###\!\!\!\-####"/>
    <numFmt numFmtId="178" formatCode="m/d/yy;@"/>
    <numFmt numFmtId="179" formatCode="yyyy/m/d;@"/>
    <numFmt numFmtId="180" formatCode="[&lt;=9999999]###\-####;###\-###\-####"/>
  </numFmts>
  <fonts count="17" x14ac:knownFonts="1">
    <font>
      <sz val="9"/>
      <color theme="1"/>
      <name val="Century"/>
      <family val="1"/>
      <scheme val="major"/>
    </font>
    <font>
      <sz val="9"/>
      <color theme="1"/>
      <name val="Century"/>
      <family val="1"/>
      <scheme val="major"/>
    </font>
    <font>
      <sz val="36"/>
      <color theme="1" tint="0.499984740745262"/>
      <name val="Century"/>
      <family val="1"/>
      <scheme val="major"/>
    </font>
    <font>
      <sz val="36"/>
      <color theme="1"/>
      <name val="Century"/>
      <family val="1"/>
      <scheme val="major"/>
    </font>
    <font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1"/>
      <color theme="1" tint="0.499984740745262"/>
      <name val="Century"/>
      <family val="1"/>
      <scheme val="major"/>
    </font>
    <font>
      <sz val="9"/>
      <name val="Century"/>
      <family val="3"/>
      <charset val="134"/>
      <scheme val="major"/>
    </font>
    <font>
      <sz val="9"/>
      <color theme="1"/>
      <name val="Microsoft YaHei UI"/>
      <family val="2"/>
      <charset val="134"/>
    </font>
    <font>
      <sz val="36"/>
      <color theme="1"/>
      <name val="Microsoft YaHei UI"/>
      <family val="2"/>
      <charset val="134"/>
    </font>
    <font>
      <sz val="24"/>
      <color theme="0"/>
      <name val="Microsoft YaHei UI"/>
      <family val="2"/>
      <charset val="134"/>
    </font>
    <font>
      <sz val="9"/>
      <color theme="2" tint="-0.249977111117893"/>
      <name val="Microsoft YaHei UI"/>
      <family val="2"/>
      <charset val="134"/>
    </font>
    <font>
      <sz val="16"/>
      <color theme="1" tint="0.34998626667073579"/>
      <name val="Microsoft YaHei UI"/>
      <family val="2"/>
      <charset val="134"/>
    </font>
    <font>
      <sz val="16"/>
      <color theme="7"/>
      <name val="Microsoft YaHei UI"/>
      <family val="2"/>
      <charset val="134"/>
    </font>
    <font>
      <sz val="16"/>
      <color theme="1"/>
      <name val="Microsoft YaHei UI"/>
      <family val="2"/>
      <charset val="134"/>
    </font>
    <font>
      <sz val="36"/>
      <color theme="1" tint="0.499984740745262"/>
      <name val="Microsoft YaHei UI"/>
      <family val="2"/>
      <charset val="134"/>
    </font>
    <font>
      <sz val="22"/>
      <color theme="0"/>
      <name val="Microsoft YaHei U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2" tint="-0.25098422193060094"/>
        </stop>
        <stop position="1">
          <color theme="2" tint="-0.49803155613879818"/>
        </stop>
      </gradientFill>
    </fill>
    <fill>
      <patternFill patternType="solid">
        <fgColor theme="2" tint="-0.249977111117893"/>
        <bgColor auto="1"/>
      </patternFill>
    </fill>
  </fills>
  <borders count="5">
    <border>
      <left/>
      <right/>
      <top/>
      <bottom/>
      <diagonal/>
    </border>
    <border>
      <left/>
      <right/>
      <top/>
      <bottom style="double">
        <color theme="0" tint="-0.34998626667073579"/>
      </bottom>
      <diagonal/>
    </border>
    <border>
      <left/>
      <right/>
      <top style="double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</borders>
  <cellStyleXfs count="9">
    <xf numFmtId="0" fontId="0" fillId="0" borderId="0">
      <alignment vertical="center"/>
    </xf>
    <xf numFmtId="0" fontId="3" fillId="0" borderId="0" applyNumberFormat="0" applyFill="0" applyBorder="0" applyProtection="0">
      <alignment horizontal="left" vertical="top"/>
    </xf>
    <xf numFmtId="0" fontId="1" fillId="0" borderId="0" applyNumberFormat="0" applyFill="0" applyBorder="0" applyAlignment="0" applyProtection="0"/>
    <xf numFmtId="176" fontId="1" fillId="0" borderId="0" applyFont="0" applyFill="0" applyBorder="0" applyAlignment="0" applyProtection="0"/>
    <xf numFmtId="0" fontId="2" fillId="0" borderId="0" applyNumberFormat="0" applyFill="0" applyBorder="0" applyProtection="0">
      <alignment horizontal="left" vertical="center"/>
    </xf>
    <xf numFmtId="0" fontId="6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center"/>
    </xf>
    <xf numFmtId="0" fontId="4" fillId="0" borderId="0"/>
    <xf numFmtId="0" fontId="5" fillId="0" borderId="0" applyNumberFormat="0" applyFill="0" applyBorder="0" applyAlignment="0" applyProtection="0"/>
  </cellStyleXfs>
  <cellXfs count="32">
    <xf numFmtId="0" fontId="0" fillId="0" borderId="0" xfId="0">
      <alignment vertical="center"/>
    </xf>
    <xf numFmtId="0" fontId="8" fillId="2" borderId="0" xfId="0" applyFont="1" applyFill="1">
      <alignment vertical="center"/>
    </xf>
    <xf numFmtId="0" fontId="8" fillId="5" borderId="0" xfId="0" applyFont="1" applyFill="1">
      <alignment vertical="center"/>
    </xf>
    <xf numFmtId="0" fontId="8" fillId="4" borderId="0" xfId="0" applyFont="1" applyFill="1">
      <alignment vertical="center"/>
    </xf>
    <xf numFmtId="0" fontId="8" fillId="0" borderId="0" xfId="0" applyFont="1">
      <alignment vertical="center"/>
    </xf>
    <xf numFmtId="0" fontId="9" fillId="0" borderId="0" xfId="1" applyFont="1" applyAlignment="1">
      <alignment vertical="top"/>
    </xf>
    <xf numFmtId="0" fontId="9" fillId="0" borderId="0" xfId="1" applyFont="1">
      <alignment horizontal="left" vertical="top"/>
    </xf>
    <xf numFmtId="178" fontId="10" fillId="2" borderId="0" xfId="0" applyNumberFormat="1" applyFont="1" applyFill="1" applyAlignment="1">
      <alignment horizontal="center" vertical="top"/>
    </xf>
    <xf numFmtId="0" fontId="8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177" fontId="8" fillId="0" borderId="0" xfId="2" applyNumberFormat="1" applyFont="1" applyBorder="1" applyAlignment="1">
      <alignment horizontal="left" vertical="center"/>
    </xf>
    <xf numFmtId="3" fontId="11" fillId="2" borderId="0" xfId="3" applyNumberFormat="1" applyFont="1" applyFill="1" applyAlignment="1">
      <alignment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left" vertical="center"/>
    </xf>
    <xf numFmtId="0" fontId="8" fillId="3" borderId="0" xfId="0" applyFont="1" applyFill="1">
      <alignment vertical="center"/>
    </xf>
    <xf numFmtId="0" fontId="9" fillId="3" borderId="0" xfId="1" applyFont="1" applyFill="1">
      <alignment horizontal="left" vertical="top"/>
    </xf>
    <xf numFmtId="0" fontId="8" fillId="0" borderId="1" xfId="0" applyFont="1" applyBorder="1">
      <alignment vertical="center"/>
    </xf>
    <xf numFmtId="0" fontId="8" fillId="3" borderId="1" xfId="0" applyFont="1" applyFill="1" applyBorder="1">
      <alignment vertical="center"/>
    </xf>
    <xf numFmtId="0" fontId="8" fillId="3" borderId="2" xfId="0" applyFont="1" applyFill="1" applyBorder="1">
      <alignment vertical="center"/>
    </xf>
    <xf numFmtId="0" fontId="15" fillId="0" borderId="0" xfId="0" applyFont="1" applyAlignment="1">
      <alignment vertical="center"/>
    </xf>
    <xf numFmtId="0" fontId="8" fillId="3" borderId="3" xfId="0" applyFont="1" applyFill="1" applyBorder="1">
      <alignment vertical="center"/>
    </xf>
    <xf numFmtId="0" fontId="15" fillId="0" borderId="4" xfId="0" applyFont="1" applyBorder="1" applyAlignment="1">
      <alignment horizontal="center" vertical="center"/>
    </xf>
    <xf numFmtId="0" fontId="8" fillId="0" borderId="4" xfId="0" applyFont="1" applyBorder="1">
      <alignment vertical="center"/>
    </xf>
    <xf numFmtId="179" fontId="16" fillId="2" borderId="0" xfId="0" applyNumberFormat="1" applyFont="1" applyFill="1" applyAlignment="1">
      <alignment horizontal="center" vertical="top"/>
    </xf>
    <xf numFmtId="179" fontId="16" fillId="2" borderId="0" xfId="0" applyNumberFormat="1" applyFont="1" applyFill="1" applyAlignment="1">
      <alignment horizontal="center"/>
    </xf>
    <xf numFmtId="180" fontId="8" fillId="0" borderId="0" xfId="0" applyNumberFormat="1" applyFont="1" applyBorder="1" applyAlignment="1">
      <alignment horizontal="left" vertical="center"/>
    </xf>
    <xf numFmtId="0" fontId="15" fillId="0" borderId="0" xfId="4" applyFont="1">
      <alignment horizontal="left" vertical="center"/>
    </xf>
  </cellXfs>
  <cellStyles count="9">
    <cellStyle name="Hyperlink 2" xfId="8"/>
    <cellStyle name="Normal 2" xfId="7"/>
    <cellStyle name="标题 1" xfId="1" builtinId="16" customBuiltin="1"/>
    <cellStyle name="标题 2" xfId="4" builtinId="17" customBuiltin="1"/>
    <cellStyle name="标题 3" xfId="5" builtinId="18" customBuiltin="1"/>
    <cellStyle name="常规" xfId="0" builtinId="0" customBuiltin="1"/>
    <cellStyle name="超链接" xfId="2" builtinId="8" customBuiltin="1"/>
    <cellStyle name="千位分隔" xfId="3" builtinId="3"/>
    <cellStyle name="已访问的超链接" xfId="6" builtinId="9" customBuiltin="1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7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7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7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34998626667073579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7" formatCode="[&lt;=9999999]###\!\!\!\-####;\!\!\!\(###\!\!\!\)\!\!\!\ ###\!\!\!\-####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80" formatCode="[&lt;=9999999]###\-####;###\-###\-####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Microsoft YaHei UI"/>
        <scheme val="none"/>
      </font>
      <fill>
        <patternFill patternType="none">
          <fgColor indexed="64"/>
          <bgColor auto="1"/>
        </patternFill>
      </fill>
      <alignment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icrosoft YaHei UI"/>
        <scheme val="none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 tint="0.34998626667073579"/>
      </font>
    </dxf>
    <dxf>
      <font>
        <b val="0"/>
        <i val="0"/>
        <color theme="7"/>
      </font>
      <border diagonalUp="0" diagonalDown="0">
        <left/>
        <right/>
        <top style="double">
          <color theme="0" tint="-0.34998626667073579"/>
        </top>
        <bottom/>
        <vertical/>
        <horizontal/>
      </border>
    </dxf>
    <dxf>
      <font>
        <b/>
        <i val="0"/>
        <color theme="1"/>
      </font>
      <fill>
        <patternFill>
          <bgColor theme="0"/>
        </patternFill>
      </fill>
      <border diagonalUp="0" diagonalDown="0">
        <left/>
        <right/>
        <top style="double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auto="1"/>
      </font>
      <fill>
        <patternFill>
          <bgColor theme="0"/>
        </patternFill>
      </fill>
      <border diagonalUp="0" diagonalDown="0">
        <left/>
        <right/>
        <top/>
        <bottom/>
        <vertical style="thin">
          <color theme="4" tint="0.79995117038483843"/>
        </vertical>
        <horizontal style="thin">
          <color theme="4" tint="0.79998168889431442"/>
        </horizontal>
      </border>
    </dxf>
  </dxfs>
  <tableStyles count="1" defaultTableStyle="Wedding Invite Tracker" defaultPivotStyle="PivotStyleMedium2">
    <tableStyle name="Wedding Invite Tracker" pivot="0" count="4">
      <tableStyleElement type="wholeTable" dxfId="36"/>
      <tableStyleElement type="headerRow" dxfId="35"/>
      <tableStyleElement type="totalRow" dxfId="34"/>
      <tableStyleElement type="firstTotalCell" dxfId="33"/>
    </tableStyle>
  </tableStyles>
  <colors>
    <mruColors>
      <color rgb="FFECEAE8"/>
      <color rgb="FFE3E0DD"/>
      <color rgb="FFDED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2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回复汇总!$G$8:$G$10</c:f>
              <c:strCache>
                <c:ptCount val="3"/>
                <c:pt idx="0">
                  <c:v>其他</c:v>
                </c:pt>
                <c:pt idx="1">
                  <c:v>新郎</c:v>
                </c:pt>
                <c:pt idx="2">
                  <c:v>新娘</c:v>
                </c:pt>
              </c:strCache>
            </c:strRef>
          </c:cat>
          <c:val>
            <c:numRef>
              <c:f>回复汇总!$I$8:$I$10</c:f>
              <c:numCache>
                <c:formatCode>General</c:formatCode>
                <c:ptCount val="3"/>
                <c:pt idx="0">
                  <c:v>11</c:v>
                </c:pt>
                <c:pt idx="1">
                  <c:v>11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0-4AC6-86FB-96F65C5E882C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回复汇总!$G$8:$G$10</c:f>
              <c:strCache>
                <c:ptCount val="3"/>
                <c:pt idx="0">
                  <c:v>其他</c:v>
                </c:pt>
                <c:pt idx="1">
                  <c:v>新郎</c:v>
                </c:pt>
                <c:pt idx="2">
                  <c:v>新娘</c:v>
                </c:pt>
              </c:strCache>
            </c:strRef>
          </c:cat>
          <c:val>
            <c:numRef>
              <c:f>回复汇总!$H$8:$H$10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00-4AC6-86FB-96F65C5E882C}"/>
            </c:ext>
          </c:extLst>
        </c:ser>
        <c:ser>
          <c:idx val="1"/>
          <c:order val="2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strRef>
              <c:f>回复汇总!$G$8:$G$10</c:f>
              <c:strCache>
                <c:ptCount val="3"/>
                <c:pt idx="0">
                  <c:v>其他</c:v>
                </c:pt>
                <c:pt idx="1">
                  <c:v>新郎</c:v>
                </c:pt>
                <c:pt idx="2">
                  <c:v>新娘</c:v>
                </c:pt>
              </c:strCache>
            </c:strRef>
          </c:cat>
          <c:val>
            <c:numRef>
              <c:f>回复汇总!$I$8:$I$10</c:f>
              <c:numCache>
                <c:formatCode>General</c:formatCode>
                <c:ptCount val="3"/>
                <c:pt idx="0">
                  <c:v>11</c:v>
                </c:pt>
                <c:pt idx="1">
                  <c:v>11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0-4AC6-86FB-96F65C5E882C}"/>
            </c:ext>
          </c:extLst>
        </c:ser>
        <c:ser>
          <c:idx val="0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1" i="0" u="none" strike="noStrike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回复汇总!$G$8:$G$10</c:f>
              <c:strCache>
                <c:ptCount val="3"/>
                <c:pt idx="0">
                  <c:v>其他</c:v>
                </c:pt>
                <c:pt idx="1">
                  <c:v>新郎</c:v>
                </c:pt>
                <c:pt idx="2">
                  <c:v>新娘</c:v>
                </c:pt>
              </c:strCache>
            </c:strRef>
          </c:cat>
          <c:val>
            <c:numRef>
              <c:f>回复汇总!$H$8:$H$10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00-4AC6-86FB-96F65C5E8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7"/>
        <c:overlap val="100"/>
        <c:axId val="160206208"/>
        <c:axId val="160208000"/>
      </c:barChart>
      <c:catAx>
        <c:axId val="16020620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1" i="0" u="none" strike="noStrike" kern="1200" spc="1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208000"/>
        <c:crosses val="autoZero"/>
        <c:auto val="1"/>
        <c:lblAlgn val="ctr"/>
        <c:lblOffset val="100"/>
        <c:noMultiLvlLbl val="0"/>
      </c:catAx>
      <c:valAx>
        <c:axId val="160208000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800" b="0" i="0" u="none" strike="noStrike" cap="all" baseline="0">
                    <a:solidFill>
                      <a:schemeClr val="bg1">
                        <a:lumMod val="6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zh-CN" altLang="zh-CN" sz="800" b="0" i="0" u="none" strike="noStrike" cap="all" baseline="0">
                    <a:effectLst/>
                  </a:rPr>
                  <a:t>来宾</a:t>
                </a:r>
                <a:endParaRPr lang="en-US" sz="800">
                  <a:solidFill>
                    <a:schemeClr val="bg1">
                      <a:lumMod val="65000"/>
                    </a:schemeClr>
                  </a:solidFill>
                  <a:latin typeface="+mj-lt"/>
                </a:endParaRPr>
              </a:p>
            </c:rich>
          </c:tx>
          <c:layout>
            <c:manualLayout>
              <c:xMode val="edge"/>
              <c:yMode val="edge"/>
              <c:x val="1.1409650716737331E-2"/>
              <c:y val="0.18383601366511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800" b="0" i="0" u="none" strike="noStrike" cap="all" baseline="0">
                  <a:solidFill>
                    <a:schemeClr val="bg1">
                      <a:lumMod val="6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zh-CN"/>
          </a:p>
        </c:txPr>
        <c:crossAx val="160206208"/>
        <c:crosses val="max"/>
        <c:crossBetween val="between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回复汇总!$G$13:$G$15</c:f>
              <c:strCache>
                <c:ptCount val="3"/>
                <c:pt idx="0">
                  <c:v>其他</c:v>
                </c:pt>
                <c:pt idx="1">
                  <c:v>新郎</c:v>
                </c:pt>
                <c:pt idx="2">
                  <c:v>新娘</c:v>
                </c:pt>
              </c:strCache>
            </c:strRef>
          </c:cat>
          <c:val>
            <c:numRef>
              <c:f>回复汇总!$I$13:$I$15</c:f>
              <c:numCache>
                <c:formatCode>General</c:formatCode>
                <c:ptCount val="3"/>
                <c:pt idx="0">
                  <c:v>11</c:v>
                </c:pt>
                <c:pt idx="1">
                  <c:v>11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D-4661-ADDD-C2BFAD9B054D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1" i="0" u="none" strike="noStrike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回复汇总!$G$13:$G$15</c:f>
              <c:strCache>
                <c:ptCount val="3"/>
                <c:pt idx="0">
                  <c:v>其他</c:v>
                </c:pt>
                <c:pt idx="1">
                  <c:v>新郎</c:v>
                </c:pt>
                <c:pt idx="2">
                  <c:v>新娘</c:v>
                </c:pt>
              </c:strCache>
            </c:strRef>
          </c:cat>
          <c:val>
            <c:numRef>
              <c:f>回复汇总!$H$13:$H$15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8D-4661-ADDD-C2BFAD9B0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7"/>
        <c:overlap val="100"/>
        <c:axId val="160380800"/>
        <c:axId val="160382336"/>
      </c:barChart>
      <c:catAx>
        <c:axId val="1603808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1" i="0" u="none" strike="noStrike" kern="1200" spc="1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382336"/>
        <c:crosses val="autoZero"/>
        <c:auto val="1"/>
        <c:lblAlgn val="ctr"/>
        <c:lblOffset val="100"/>
        <c:noMultiLvlLbl val="0"/>
      </c:catAx>
      <c:valAx>
        <c:axId val="16038233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800" b="0" i="0" u="none" strike="noStrike" cap="all" baseline="0">
                    <a:solidFill>
                      <a:schemeClr val="bg1">
                        <a:lumMod val="6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zh-CN" altLang="zh-CN" sz="800" b="0" i="0" u="none" strike="noStrike" cap="all" baseline="0">
                    <a:effectLst/>
                  </a:rPr>
                  <a:t>来宾</a:t>
                </a:r>
                <a:endParaRPr lang="en-US" sz="800">
                  <a:solidFill>
                    <a:schemeClr val="bg1">
                      <a:lumMod val="65000"/>
                    </a:schemeClr>
                  </a:solidFill>
                  <a:latin typeface="+mj-lt"/>
                </a:endParaRPr>
              </a:p>
            </c:rich>
          </c:tx>
          <c:layout>
            <c:manualLayout>
              <c:xMode val="edge"/>
              <c:yMode val="edge"/>
              <c:x val="1.1409672928814932E-2"/>
              <c:y val="0.19181418018770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ja-JP" sz="800" b="0" i="0" u="none" strike="noStrike" cap="all" baseline="0">
                  <a:solidFill>
                    <a:schemeClr val="bg1">
                      <a:lumMod val="6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zh-CN"/>
          </a:p>
        </c:txPr>
        <c:crossAx val="160380800"/>
        <c:crosses val="max"/>
        <c:crossBetween val="between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tint val="60000"/>
  </cs:variation>
  <cs:variation>
    <a:shade val="60000"/>
  </cs:variation>
  <cs:variation>
    <a:tint val="80000"/>
  </cs:variation>
  <cs:variation>
    <a:shade val="80000"/>
  </cs:variation>
  <cs:variation>
    <a:tint val="50000"/>
  </cs:variation>
  <cs:variation>
    <a:shade val="50000"/>
  </cs:variation>
  <cs:variation>
    <a:tint val="70000"/>
  </cs:variation>
  <cs:variation>
    <a:shade val="7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tint val="60000"/>
  </cs:variation>
  <cs:variation>
    <a:shade val="60000"/>
  </cs:variation>
  <cs:variation>
    <a:tint val="80000"/>
  </cs:variation>
  <cs:variation>
    <a:shade val="80000"/>
  </cs:variation>
  <cs:variation>
    <a:tint val="50000"/>
  </cs:variation>
  <cs:variation>
    <a:shade val="50000"/>
  </cs:variation>
  <cs:variation>
    <a:tint val="70000"/>
  </cs:variation>
  <cs:variation>
    <a:shade val="7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lt1"/>
    </cs:fontRef>
    <cs:defRPr sz="900"/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</cs:spPr>
  </cs:plotArea>
  <cs:plotArea3D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</cs:spPr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6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lt1"/>
    </cs:fontRef>
    <cs:defRPr sz="900"/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</cs:spPr>
  </cs:plotArea>
  <cs:plotArea3D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</cs:spPr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6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RSVP!A1"/><Relationship Id="rId1" Type="http://schemas.openxmlformats.org/officeDocument/2006/relationships/hyperlink" Target="#&#22238;&#22797;&#27719;&#24635;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Summary!A1"/><Relationship Id="rId1" Type="http://schemas.openxmlformats.org/officeDocument/2006/relationships/hyperlink" Target="#&#22238;&#22797;&#36319;&#36394;&#22120;!A1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</xdr:row>
      <xdr:rowOff>409574</xdr:rowOff>
    </xdr:from>
    <xdr:to>
      <xdr:col>3</xdr:col>
      <xdr:colOff>10668</xdr:colOff>
      <xdr:row>6</xdr:row>
      <xdr:rowOff>6305</xdr:rowOff>
    </xdr:to>
    <xdr:grpSp>
      <xdr:nvGrpSpPr>
        <xdr:cNvPr id="5" name="婚礼日期" descr="&quot;&quot;" title="婚礼日期"/>
        <xdr:cNvGrpSpPr/>
      </xdr:nvGrpSpPr>
      <xdr:grpSpPr>
        <a:xfrm>
          <a:off x="9525" y="1019174"/>
          <a:ext cx="1839468" cy="425406"/>
          <a:chOff x="9525" y="1095374"/>
          <a:chExt cx="1322385" cy="425406"/>
        </a:xfrm>
      </xdr:grpSpPr>
      <xdr:sp macro="" textlink="">
        <xdr:nvSpPr>
          <xdr:cNvPr id="23" name="婚礼日期标签" descr="&quot;&quot;" title="婚礼日期标签"/>
          <xdr:cNvSpPr txBox="1"/>
        </xdr:nvSpPr>
        <xdr:spPr>
          <a:xfrm>
            <a:off x="9525" y="1095374"/>
            <a:ext cx="1322385" cy="323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婚礼日期</a:t>
            </a:r>
          </a:p>
        </xdr:txBody>
      </xdr:sp>
      <xdr:cxnSp macro="">
        <xdr:nvCxnSpPr>
          <xdr:cNvPr id="24" name="边框" descr="&quot;&quot;" title="边框"/>
          <xdr:cNvCxnSpPr/>
        </xdr:nvCxnSpPr>
        <xdr:spPr>
          <a:xfrm flipV="1">
            <a:off x="156210" y="1486373"/>
            <a:ext cx="1064895" cy="3337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边框" descr="&quot;&quot;" title="边框"/>
          <xdr:cNvCxnSpPr/>
        </xdr:nvCxnSpPr>
        <xdr:spPr>
          <a:xfrm>
            <a:off x="156210" y="1520780"/>
            <a:ext cx="1064895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12</xdr:row>
      <xdr:rowOff>180975</xdr:rowOff>
    </xdr:from>
    <xdr:to>
      <xdr:col>3</xdr:col>
      <xdr:colOff>1143</xdr:colOff>
      <xdr:row>15</xdr:row>
      <xdr:rowOff>20955</xdr:rowOff>
    </xdr:to>
    <xdr:sp macro="" textlink="出席总人数">
      <xdr:nvSpPr>
        <xdr:cNvPr id="34" name="# 参加" descr="&quot;&quot;" title="# 参加"/>
        <xdr:cNvSpPr txBox="1"/>
      </xdr:nvSpPr>
      <xdr:spPr>
        <a:xfrm>
          <a:off x="0" y="3419475"/>
          <a:ext cx="1344168" cy="6400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4D2C95D1-307C-4F2E-A9ED-4E9A5E9A4E35}" type="TxLink">
            <a:rPr lang="en-US" sz="2400" b="0" i="0" u="none" strike="noStrike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/>
            <a:t>0</a:t>
          </a:fld>
          <a:endParaRPr lang="en-US" sz="28700" b="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0</xdr:col>
      <xdr:colOff>9525</xdr:colOff>
      <xdr:row>11</xdr:row>
      <xdr:rowOff>190500</xdr:rowOff>
    </xdr:from>
    <xdr:to>
      <xdr:col>3</xdr:col>
      <xdr:colOff>10668</xdr:colOff>
      <xdr:row>12</xdr:row>
      <xdr:rowOff>219942</xdr:rowOff>
    </xdr:to>
    <xdr:grpSp>
      <xdr:nvGrpSpPr>
        <xdr:cNvPr id="7" name="参加" descr="&quot;&quot;" title="参加"/>
        <xdr:cNvGrpSpPr/>
      </xdr:nvGrpSpPr>
      <xdr:grpSpPr>
        <a:xfrm>
          <a:off x="9525" y="3086100"/>
          <a:ext cx="1839468" cy="296142"/>
          <a:chOff x="9525" y="3076575"/>
          <a:chExt cx="1324737" cy="296142"/>
        </a:xfrm>
      </xdr:grpSpPr>
      <xdr:sp macro="" textlink="">
        <xdr:nvSpPr>
          <xdr:cNvPr id="36" name="# 参加标签" descr="&quot;&quot;" title="# 参加标签"/>
          <xdr:cNvSpPr txBox="1"/>
        </xdr:nvSpPr>
        <xdr:spPr>
          <a:xfrm>
            <a:off x="9525" y="3076575"/>
            <a:ext cx="1324737" cy="2095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参加</a:t>
            </a:r>
          </a:p>
        </xdr:txBody>
      </xdr:sp>
      <xdr:cxnSp macro="">
        <xdr:nvCxnSpPr>
          <xdr:cNvPr id="37" name="边框" descr="&quot;&quot;" title="边框"/>
          <xdr:cNvCxnSpPr/>
        </xdr:nvCxnSpPr>
        <xdr:spPr>
          <a:xfrm>
            <a:off x="77456" y="3343275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边框" descr="&quot;&quot;" title="边框"/>
          <xdr:cNvCxnSpPr/>
        </xdr:nvCxnSpPr>
        <xdr:spPr>
          <a:xfrm>
            <a:off x="77456" y="3372717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9525</xdr:colOff>
      <xdr:row>8</xdr:row>
      <xdr:rowOff>1</xdr:rowOff>
    </xdr:from>
    <xdr:to>
      <xdr:col>3</xdr:col>
      <xdr:colOff>10668</xdr:colOff>
      <xdr:row>9</xdr:row>
      <xdr:rowOff>29523</xdr:rowOff>
    </xdr:to>
    <xdr:grpSp>
      <xdr:nvGrpSpPr>
        <xdr:cNvPr id="6" name="剩余天数" descr="&quot;&quot;" title="剩余天数"/>
        <xdr:cNvGrpSpPr/>
      </xdr:nvGrpSpPr>
      <xdr:grpSpPr>
        <a:xfrm>
          <a:off x="9525" y="2095501"/>
          <a:ext cx="1839468" cy="296222"/>
          <a:chOff x="9525" y="2171701"/>
          <a:chExt cx="1324737" cy="296222"/>
        </a:xfrm>
      </xdr:grpSpPr>
      <xdr:cxnSp macro="">
        <xdr:nvCxnSpPr>
          <xdr:cNvPr id="60" name="边框" descr="&quot;&quot;" title="边框"/>
          <xdr:cNvCxnSpPr/>
        </xdr:nvCxnSpPr>
        <xdr:spPr>
          <a:xfrm>
            <a:off x="77456" y="2442141"/>
            <a:ext cx="114387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边框" descr="&quot;&quot;" title="边框"/>
          <xdr:cNvCxnSpPr/>
        </xdr:nvCxnSpPr>
        <xdr:spPr>
          <a:xfrm>
            <a:off x="77456" y="2467923"/>
            <a:ext cx="114387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2" name="# 剩余天数标签" descr="&quot;&quot;" title="剩余天数标签"/>
          <xdr:cNvSpPr txBox="1"/>
        </xdr:nvSpPr>
        <xdr:spPr>
          <a:xfrm>
            <a:off x="9525" y="2171701"/>
            <a:ext cx="1324737" cy="2190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剩余天数</a:t>
            </a:r>
          </a:p>
        </xdr:txBody>
      </xdr:sp>
    </xdr:grpSp>
    <xdr:clientData/>
  </xdr:twoCellAnchor>
  <xdr:twoCellAnchor>
    <xdr:from>
      <xdr:col>0</xdr:col>
      <xdr:colOff>0</xdr:colOff>
      <xdr:row>8</xdr:row>
      <xdr:rowOff>263768</xdr:rowOff>
    </xdr:from>
    <xdr:to>
      <xdr:col>3</xdr:col>
      <xdr:colOff>1143</xdr:colOff>
      <xdr:row>11</xdr:row>
      <xdr:rowOff>103748</xdr:rowOff>
    </xdr:to>
    <xdr:sp macro="" textlink="剩余天数">
      <xdr:nvSpPr>
        <xdr:cNvPr id="65" name="# 剩余天数" descr="距离婚礼的剩余天数。链接至单元格 A10." title="剩余天数标签"/>
        <xdr:cNvSpPr txBox="1"/>
      </xdr:nvSpPr>
      <xdr:spPr>
        <a:xfrm>
          <a:off x="0" y="2435468"/>
          <a:ext cx="1344168" cy="6400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CB6A9845-B733-4744-9FAB-7B6681A7CE7A}" type="TxLink">
            <a:rPr lang="en-US" sz="2400" b="0" i="0" u="none" strike="noStrike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/>
            <a:t>283</a:t>
          </a:fld>
          <a:endParaRPr lang="en-US" sz="148100" b="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oneCell">
    <xdr:from>
      <xdr:col>5</xdr:col>
      <xdr:colOff>439510</xdr:colOff>
      <xdr:row>0</xdr:row>
      <xdr:rowOff>0</xdr:rowOff>
    </xdr:from>
    <xdr:to>
      <xdr:col>8</xdr:col>
      <xdr:colOff>144235</xdr:colOff>
      <xdr:row>2</xdr:row>
      <xdr:rowOff>115824</xdr:rowOff>
    </xdr:to>
    <xdr:sp macro="" textlink="">
      <xdr:nvSpPr>
        <xdr:cNvPr id="17" name="回复汇总" descr="单击查看“回复汇总”工作表。" title="“回复汇总”按钮">
          <a:hlinkClick xmlns:r="http://schemas.openxmlformats.org/officeDocument/2006/relationships" r:id="rId1" tooltip="单击查看“回复汇总”工作表。"/>
        </xdr:cNvPr>
        <xdr:cNvSpPr/>
      </xdr:nvSpPr>
      <xdr:spPr>
        <a:xfrm>
          <a:off x="3268435" y="0"/>
          <a:ext cx="1533525" cy="420624"/>
        </a:xfrm>
        <a:prstGeom prst="round2SameRect">
          <a:avLst>
            <a:gd name="adj1" fmla="val 0"/>
            <a:gd name="adj2" fmla="val 17021"/>
          </a:avLst>
        </a:prstGeom>
        <a:solidFill>
          <a:schemeClr val="accent1"/>
        </a:solidFill>
        <a:ln w="6350"/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tIns="0" bIns="0" rtlCol="0" anchor="ctr"/>
        <a:lstStyle/>
        <a:p>
          <a:pPr algn="ctr"/>
          <a:r>
            <a:rPr lang="zh-CN" altLang="zh-CN" sz="1050">
              <a:solidFill>
                <a:schemeClr val="bg1">
                  <a:lumMod val="9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回复汇总</a:t>
          </a:r>
          <a:endParaRPr lang="en-US" sz="900" spc="100" baseline="0">
            <a:solidFill>
              <a:schemeClr val="bg1">
                <a:lumMod val="9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371475</xdr:colOff>
      <xdr:row>3</xdr:row>
      <xdr:rowOff>21771</xdr:rowOff>
    </xdr:to>
    <xdr:grpSp>
      <xdr:nvGrpSpPr>
        <xdr:cNvPr id="2" name="回复跟踪器" descr="&quot;&quot;" title="回复跟踪器"/>
        <xdr:cNvGrpSpPr/>
      </xdr:nvGrpSpPr>
      <xdr:grpSpPr>
        <a:xfrm>
          <a:off x="2162175" y="0"/>
          <a:ext cx="1533525" cy="478971"/>
          <a:chOff x="1590675" y="0"/>
          <a:chExt cx="1533525" cy="536121"/>
        </a:xfrm>
      </xdr:grpSpPr>
      <xdr:sp macro="" textlink="">
        <xdr:nvSpPr>
          <xdr:cNvPr id="18" name="图形"/>
          <xdr:cNvSpPr/>
        </xdr:nvSpPr>
        <xdr:spPr>
          <a:xfrm>
            <a:off x="1590675" y="0"/>
            <a:ext cx="1533525" cy="419100"/>
          </a:xfrm>
          <a:prstGeom prst="round2SameRect">
            <a:avLst>
              <a:gd name="adj1" fmla="val 0"/>
              <a:gd name="adj2" fmla="val 17021"/>
            </a:avLst>
          </a:prstGeom>
          <a:solidFill>
            <a:schemeClr val="accent4"/>
          </a:solidFill>
          <a:ln w="6350"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zh-CN" altLang="zh-CN" sz="1050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回复跟踪器</a:t>
            </a:r>
          </a:p>
        </xdr:txBody>
      </xdr:sp>
      <xdr:sp macro="" textlink="">
        <xdr:nvSpPr>
          <xdr:cNvPr id="19" name="图形">
            <a:hlinkClick xmlns:r="http://schemas.openxmlformats.org/officeDocument/2006/relationships" r:id="rId2" tooltip="Click to view Tracker"/>
          </xdr:cNvPr>
          <xdr:cNvSpPr>
            <a:spLocks/>
          </xdr:cNvSpPr>
        </xdr:nvSpPr>
        <xdr:spPr bwMode="auto">
          <a:xfrm>
            <a:off x="2175424" y="420558"/>
            <a:ext cx="364026" cy="115563"/>
          </a:xfrm>
          <a:custGeom>
            <a:avLst/>
            <a:gdLst>
              <a:gd name="T0" fmla="*/ 0 w 3286"/>
              <a:gd name="T1" fmla="*/ 0 h 938"/>
              <a:gd name="T2" fmla="*/ 3286 w 3286"/>
              <a:gd name="T3" fmla="*/ 0 h 938"/>
              <a:gd name="T4" fmla="*/ 3217 w 3286"/>
              <a:gd name="T5" fmla="*/ 7 h 938"/>
              <a:gd name="T6" fmla="*/ 3147 w 3286"/>
              <a:gd name="T7" fmla="*/ 19 h 938"/>
              <a:gd name="T8" fmla="*/ 3074 w 3286"/>
              <a:gd name="T9" fmla="*/ 35 h 938"/>
              <a:gd name="T10" fmla="*/ 3001 w 3286"/>
              <a:gd name="T11" fmla="*/ 57 h 938"/>
              <a:gd name="T12" fmla="*/ 2928 w 3286"/>
              <a:gd name="T13" fmla="*/ 81 h 938"/>
              <a:gd name="T14" fmla="*/ 2855 w 3286"/>
              <a:gd name="T15" fmla="*/ 108 h 938"/>
              <a:gd name="T16" fmla="*/ 2784 w 3286"/>
              <a:gd name="T17" fmla="*/ 140 h 938"/>
              <a:gd name="T18" fmla="*/ 2714 w 3286"/>
              <a:gd name="T19" fmla="*/ 174 h 938"/>
              <a:gd name="T20" fmla="*/ 2648 w 3286"/>
              <a:gd name="T21" fmla="*/ 211 h 938"/>
              <a:gd name="T22" fmla="*/ 2584 w 3286"/>
              <a:gd name="T23" fmla="*/ 251 h 938"/>
              <a:gd name="T24" fmla="*/ 2526 w 3286"/>
              <a:gd name="T25" fmla="*/ 292 h 938"/>
              <a:gd name="T26" fmla="*/ 2472 w 3286"/>
              <a:gd name="T27" fmla="*/ 335 h 938"/>
              <a:gd name="T28" fmla="*/ 2423 w 3286"/>
              <a:gd name="T29" fmla="*/ 380 h 938"/>
              <a:gd name="T30" fmla="*/ 2025 w 3286"/>
              <a:gd name="T31" fmla="*/ 780 h 938"/>
              <a:gd name="T32" fmla="*/ 1987 w 3286"/>
              <a:gd name="T33" fmla="*/ 816 h 938"/>
              <a:gd name="T34" fmla="*/ 1945 w 3286"/>
              <a:gd name="T35" fmla="*/ 846 h 938"/>
              <a:gd name="T36" fmla="*/ 1902 w 3286"/>
              <a:gd name="T37" fmla="*/ 872 h 938"/>
              <a:gd name="T38" fmla="*/ 1858 w 3286"/>
              <a:gd name="T39" fmla="*/ 895 h 938"/>
              <a:gd name="T40" fmla="*/ 1811 w 3286"/>
              <a:gd name="T41" fmla="*/ 912 h 938"/>
              <a:gd name="T42" fmla="*/ 1764 w 3286"/>
              <a:gd name="T43" fmla="*/ 925 h 938"/>
              <a:gd name="T44" fmla="*/ 1716 w 3286"/>
              <a:gd name="T45" fmla="*/ 934 h 938"/>
              <a:gd name="T46" fmla="*/ 1668 w 3286"/>
              <a:gd name="T47" fmla="*/ 938 h 938"/>
              <a:gd name="T48" fmla="*/ 1618 w 3286"/>
              <a:gd name="T49" fmla="*/ 938 h 938"/>
              <a:gd name="T50" fmla="*/ 1570 w 3286"/>
              <a:gd name="T51" fmla="*/ 934 h 938"/>
              <a:gd name="T52" fmla="*/ 1522 w 3286"/>
              <a:gd name="T53" fmla="*/ 925 h 938"/>
              <a:gd name="T54" fmla="*/ 1474 w 3286"/>
              <a:gd name="T55" fmla="*/ 912 h 938"/>
              <a:gd name="T56" fmla="*/ 1428 w 3286"/>
              <a:gd name="T57" fmla="*/ 895 h 938"/>
              <a:gd name="T58" fmla="*/ 1384 w 3286"/>
              <a:gd name="T59" fmla="*/ 872 h 938"/>
              <a:gd name="T60" fmla="*/ 1340 w 3286"/>
              <a:gd name="T61" fmla="*/ 846 h 938"/>
              <a:gd name="T62" fmla="*/ 1299 w 3286"/>
              <a:gd name="T63" fmla="*/ 816 h 938"/>
              <a:gd name="T64" fmla="*/ 1261 w 3286"/>
              <a:gd name="T65" fmla="*/ 780 h 938"/>
              <a:gd name="T66" fmla="*/ 862 w 3286"/>
              <a:gd name="T67" fmla="*/ 380 h 938"/>
              <a:gd name="T68" fmla="*/ 814 w 3286"/>
              <a:gd name="T69" fmla="*/ 335 h 938"/>
              <a:gd name="T70" fmla="*/ 760 w 3286"/>
              <a:gd name="T71" fmla="*/ 292 h 938"/>
              <a:gd name="T72" fmla="*/ 701 w 3286"/>
              <a:gd name="T73" fmla="*/ 251 h 938"/>
              <a:gd name="T74" fmla="*/ 638 w 3286"/>
              <a:gd name="T75" fmla="*/ 211 h 938"/>
              <a:gd name="T76" fmla="*/ 572 w 3286"/>
              <a:gd name="T77" fmla="*/ 174 h 938"/>
              <a:gd name="T78" fmla="*/ 502 w 3286"/>
              <a:gd name="T79" fmla="*/ 140 h 938"/>
              <a:gd name="T80" fmla="*/ 431 w 3286"/>
              <a:gd name="T81" fmla="*/ 108 h 938"/>
              <a:gd name="T82" fmla="*/ 358 w 3286"/>
              <a:gd name="T83" fmla="*/ 81 h 938"/>
              <a:gd name="T84" fmla="*/ 285 w 3286"/>
              <a:gd name="T85" fmla="*/ 57 h 938"/>
              <a:gd name="T86" fmla="*/ 211 w 3286"/>
              <a:gd name="T87" fmla="*/ 35 h 938"/>
              <a:gd name="T88" fmla="*/ 139 w 3286"/>
              <a:gd name="T89" fmla="*/ 19 h 938"/>
              <a:gd name="T90" fmla="*/ 68 w 3286"/>
              <a:gd name="T91" fmla="*/ 7 h 938"/>
              <a:gd name="T92" fmla="*/ 0 w 3286"/>
              <a:gd name="T93" fmla="*/ 0 h 9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3286" h="938">
                <a:moveTo>
                  <a:pt x="0" y="0"/>
                </a:moveTo>
                <a:lnTo>
                  <a:pt x="3286" y="0"/>
                </a:lnTo>
                <a:lnTo>
                  <a:pt x="3217" y="7"/>
                </a:lnTo>
                <a:lnTo>
                  <a:pt x="3147" y="19"/>
                </a:lnTo>
                <a:lnTo>
                  <a:pt x="3074" y="35"/>
                </a:lnTo>
                <a:lnTo>
                  <a:pt x="3001" y="57"/>
                </a:lnTo>
                <a:lnTo>
                  <a:pt x="2928" y="81"/>
                </a:lnTo>
                <a:lnTo>
                  <a:pt x="2855" y="108"/>
                </a:lnTo>
                <a:lnTo>
                  <a:pt x="2784" y="140"/>
                </a:lnTo>
                <a:lnTo>
                  <a:pt x="2714" y="174"/>
                </a:lnTo>
                <a:lnTo>
                  <a:pt x="2648" y="211"/>
                </a:lnTo>
                <a:lnTo>
                  <a:pt x="2584" y="251"/>
                </a:lnTo>
                <a:lnTo>
                  <a:pt x="2526" y="292"/>
                </a:lnTo>
                <a:lnTo>
                  <a:pt x="2472" y="335"/>
                </a:lnTo>
                <a:lnTo>
                  <a:pt x="2423" y="380"/>
                </a:lnTo>
                <a:lnTo>
                  <a:pt x="2025" y="780"/>
                </a:lnTo>
                <a:lnTo>
                  <a:pt x="1987" y="816"/>
                </a:lnTo>
                <a:lnTo>
                  <a:pt x="1945" y="846"/>
                </a:lnTo>
                <a:lnTo>
                  <a:pt x="1902" y="872"/>
                </a:lnTo>
                <a:lnTo>
                  <a:pt x="1858" y="895"/>
                </a:lnTo>
                <a:lnTo>
                  <a:pt x="1811" y="912"/>
                </a:lnTo>
                <a:lnTo>
                  <a:pt x="1764" y="925"/>
                </a:lnTo>
                <a:lnTo>
                  <a:pt x="1716" y="934"/>
                </a:lnTo>
                <a:lnTo>
                  <a:pt x="1668" y="938"/>
                </a:lnTo>
                <a:lnTo>
                  <a:pt x="1618" y="938"/>
                </a:lnTo>
                <a:lnTo>
                  <a:pt x="1570" y="934"/>
                </a:lnTo>
                <a:lnTo>
                  <a:pt x="1522" y="925"/>
                </a:lnTo>
                <a:lnTo>
                  <a:pt x="1474" y="912"/>
                </a:lnTo>
                <a:lnTo>
                  <a:pt x="1428" y="895"/>
                </a:lnTo>
                <a:lnTo>
                  <a:pt x="1384" y="872"/>
                </a:lnTo>
                <a:lnTo>
                  <a:pt x="1340" y="846"/>
                </a:lnTo>
                <a:lnTo>
                  <a:pt x="1299" y="816"/>
                </a:lnTo>
                <a:lnTo>
                  <a:pt x="1261" y="780"/>
                </a:lnTo>
                <a:lnTo>
                  <a:pt x="862" y="380"/>
                </a:lnTo>
                <a:lnTo>
                  <a:pt x="814" y="335"/>
                </a:lnTo>
                <a:lnTo>
                  <a:pt x="760" y="292"/>
                </a:lnTo>
                <a:lnTo>
                  <a:pt x="701" y="251"/>
                </a:lnTo>
                <a:lnTo>
                  <a:pt x="638" y="211"/>
                </a:lnTo>
                <a:lnTo>
                  <a:pt x="572" y="174"/>
                </a:lnTo>
                <a:lnTo>
                  <a:pt x="502" y="140"/>
                </a:lnTo>
                <a:lnTo>
                  <a:pt x="431" y="108"/>
                </a:lnTo>
                <a:lnTo>
                  <a:pt x="358" y="81"/>
                </a:lnTo>
                <a:lnTo>
                  <a:pt x="285" y="57"/>
                </a:lnTo>
                <a:lnTo>
                  <a:pt x="211" y="35"/>
                </a:lnTo>
                <a:lnTo>
                  <a:pt x="139" y="19"/>
                </a:lnTo>
                <a:lnTo>
                  <a:pt x="68" y="7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/>
          </a:solidFill>
          <a:ln w="0">
            <a:noFill/>
            <a:prstDash val="solid"/>
            <a:round/>
            <a:headEnd/>
            <a:tailEnd/>
          </a:ln>
        </xdr:spPr>
      </xdr:sp>
    </xdr:grpSp>
    <xdr:clientData fPrintsWithSheet="0"/>
  </xdr:twoCellAnchor>
  <xdr:twoCellAnchor>
    <xdr:from>
      <xdr:col>0</xdr:col>
      <xdr:colOff>9525</xdr:colOff>
      <xdr:row>15</xdr:row>
      <xdr:rowOff>47625</xdr:rowOff>
    </xdr:from>
    <xdr:to>
      <xdr:col>3</xdr:col>
      <xdr:colOff>10668</xdr:colOff>
      <xdr:row>16</xdr:row>
      <xdr:rowOff>77067</xdr:rowOff>
    </xdr:to>
    <xdr:grpSp>
      <xdr:nvGrpSpPr>
        <xdr:cNvPr id="8" name="不参加" descr="&quot;&quot;" title="不参加"/>
        <xdr:cNvGrpSpPr/>
      </xdr:nvGrpSpPr>
      <xdr:grpSpPr>
        <a:xfrm>
          <a:off x="9525" y="4010025"/>
          <a:ext cx="1839468" cy="296142"/>
          <a:chOff x="9525" y="4048125"/>
          <a:chExt cx="1324737" cy="296142"/>
        </a:xfrm>
      </xdr:grpSpPr>
      <xdr:sp macro="" textlink="">
        <xdr:nvSpPr>
          <xdr:cNvPr id="22" name="# 不参加标签" descr="&quot;&quot;" title="不参加标签"/>
          <xdr:cNvSpPr txBox="1"/>
        </xdr:nvSpPr>
        <xdr:spPr>
          <a:xfrm>
            <a:off x="9525" y="4048125"/>
            <a:ext cx="1324737" cy="2095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不参加</a:t>
            </a:r>
          </a:p>
        </xdr:txBody>
      </xdr:sp>
      <xdr:cxnSp macro="">
        <xdr:nvCxnSpPr>
          <xdr:cNvPr id="26" name="边框" descr="&quot;&quot;" title="边框"/>
          <xdr:cNvCxnSpPr/>
        </xdr:nvCxnSpPr>
        <xdr:spPr>
          <a:xfrm>
            <a:off x="77456" y="4314825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边框" descr="&quot;&quot;" title="边框"/>
          <xdr:cNvCxnSpPr/>
        </xdr:nvCxnSpPr>
        <xdr:spPr>
          <a:xfrm>
            <a:off x="77456" y="4344267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16</xdr:row>
      <xdr:rowOff>76200</xdr:rowOff>
    </xdr:from>
    <xdr:to>
      <xdr:col>3</xdr:col>
      <xdr:colOff>1143</xdr:colOff>
      <xdr:row>18</xdr:row>
      <xdr:rowOff>76200</xdr:rowOff>
    </xdr:to>
    <xdr:sp macro="" textlink="不出席总人数">
      <xdr:nvSpPr>
        <xdr:cNvPr id="28" name="# 不参加" descr="未出席的来宾人数。链接至单元格 A17。" title="# 不参加"/>
        <xdr:cNvSpPr txBox="1"/>
      </xdr:nvSpPr>
      <xdr:spPr>
        <a:xfrm>
          <a:off x="0" y="4381500"/>
          <a:ext cx="1344168" cy="533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E9E9F20E-8394-4F41-93AB-D5913E16793D}" type="TxLink">
            <a:rPr lang="en-US" sz="2400" b="0" i="0" u="none" strike="noStrike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/>
            <a:t>9</a:t>
          </a:fld>
          <a:endParaRPr lang="en-US" sz="148100" b="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0</xdr:col>
      <xdr:colOff>9525</xdr:colOff>
      <xdr:row>18</xdr:row>
      <xdr:rowOff>161925</xdr:rowOff>
    </xdr:from>
    <xdr:to>
      <xdr:col>3</xdr:col>
      <xdr:colOff>10668</xdr:colOff>
      <xdr:row>20</xdr:row>
      <xdr:rowOff>19917</xdr:rowOff>
    </xdr:to>
    <xdr:grpSp>
      <xdr:nvGrpSpPr>
        <xdr:cNvPr id="9" name="未决" descr="&quot;&quot;" title="未决"/>
        <xdr:cNvGrpSpPr/>
      </xdr:nvGrpSpPr>
      <xdr:grpSpPr>
        <a:xfrm>
          <a:off x="9525" y="4924425"/>
          <a:ext cx="1839468" cy="391392"/>
          <a:chOff x="9525" y="5105400"/>
          <a:chExt cx="1324737" cy="296142"/>
        </a:xfrm>
      </xdr:grpSpPr>
      <xdr:sp macro="" textlink="">
        <xdr:nvSpPr>
          <xdr:cNvPr id="39" name="# 未决标签" descr="&quot;&quot;" title="# 未决标签"/>
          <xdr:cNvSpPr txBox="1"/>
        </xdr:nvSpPr>
        <xdr:spPr>
          <a:xfrm>
            <a:off x="9525" y="5105400"/>
            <a:ext cx="1324737" cy="2095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marL="0" indent="0"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未决</a:t>
            </a:r>
            <a:endParaRPr lang="en-US" sz="400" b="1" spc="100" baseline="0">
              <a:solidFill>
                <a:schemeClr val="bg1">
                  <a:lumMod val="9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cxnSp macro="">
        <xdr:nvCxnSpPr>
          <xdr:cNvPr id="40" name="边框" descr="&quot;&quot;" title="边框"/>
          <xdr:cNvCxnSpPr/>
        </xdr:nvCxnSpPr>
        <xdr:spPr>
          <a:xfrm>
            <a:off x="77456" y="5372100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边框" descr="&quot;&quot;" title="边框"/>
          <xdr:cNvCxnSpPr/>
        </xdr:nvCxnSpPr>
        <xdr:spPr>
          <a:xfrm>
            <a:off x="77456" y="5401542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20</xdr:row>
      <xdr:rowOff>38100</xdr:rowOff>
    </xdr:from>
    <xdr:to>
      <xdr:col>3</xdr:col>
      <xdr:colOff>1143</xdr:colOff>
      <xdr:row>22</xdr:row>
      <xdr:rowOff>38100</xdr:rowOff>
    </xdr:to>
    <xdr:sp macro="" textlink="未定_请尽快回复">
      <xdr:nvSpPr>
        <xdr:cNvPr id="42" name="# 未决" descr="邀请未决统计。链接至单元格 A21。" title="未决标签"/>
        <xdr:cNvSpPr txBox="1"/>
      </xdr:nvSpPr>
      <xdr:spPr>
        <a:xfrm>
          <a:off x="0" y="5334000"/>
          <a:ext cx="1344168" cy="533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DF0747E7-CCD7-4629-9CAA-A55FE850DC2C}" type="TxLink">
            <a:rPr lang="en-US" sz="2400" b="0" i="0" u="none" strike="noStrike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/>
            <a:t>2</a:t>
          </a:fld>
          <a:endParaRPr lang="en-US" sz="400000" b="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0</xdr:col>
      <xdr:colOff>38102</xdr:colOff>
      <xdr:row>1</xdr:row>
      <xdr:rowOff>38100</xdr:rowOff>
    </xdr:from>
    <xdr:to>
      <xdr:col>2</xdr:col>
      <xdr:colOff>28575</xdr:colOff>
      <xdr:row>4</xdr:row>
      <xdr:rowOff>323852</xdr:rowOff>
    </xdr:to>
    <xdr:sp macro="" textlink="">
      <xdr:nvSpPr>
        <xdr:cNvPr id="4" name="提示" descr="请在下面输入您的婚礼日期以便在本跟踪器中使用。" title="提示"/>
        <xdr:cNvSpPr/>
      </xdr:nvSpPr>
      <xdr:spPr>
        <a:xfrm>
          <a:off x="38102" y="209550"/>
          <a:ext cx="1276348" cy="800102"/>
        </a:xfrm>
        <a:prstGeom prst="wedgeRoundRectCallout">
          <a:avLst>
            <a:gd name="adj1" fmla="val -19830"/>
            <a:gd name="adj2" fmla="val 63123"/>
            <a:gd name="adj3" fmla="val 16667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algn="ctr"/>
          <a:r>
            <a:rPr lang="zh-CN" altLang="zh-CN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请在下面输入您的婚礼日期以便在本跟踪器中使用。</a:t>
          </a:r>
          <a:endParaRPr lang="en-US" sz="600">
            <a:solidFill>
              <a:schemeClr val="tx1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478917</xdr:colOff>
      <xdr:row>2</xdr:row>
      <xdr:rowOff>76200</xdr:rowOff>
    </xdr:to>
    <xdr:sp macro="" textlink="">
      <xdr:nvSpPr>
        <xdr:cNvPr id="7" name="回复跟踪器" descr="单击查看“回复跟踪器”工作表" title="“回复跟踪器”按钮">
          <a:hlinkClick xmlns:r="http://schemas.openxmlformats.org/officeDocument/2006/relationships" r:id="rId1" tooltip="单击查看“回复跟踪器”工作表"/>
        </xdr:cNvPr>
        <xdr:cNvSpPr/>
      </xdr:nvSpPr>
      <xdr:spPr>
        <a:xfrm>
          <a:off x="1666875" y="0"/>
          <a:ext cx="1536192" cy="419100"/>
        </a:xfrm>
        <a:prstGeom prst="round2SameRect">
          <a:avLst>
            <a:gd name="adj1" fmla="val 0"/>
            <a:gd name="adj2" fmla="val 17021"/>
          </a:avLst>
        </a:prstGeom>
        <a:solidFill>
          <a:schemeClr val="accent4"/>
        </a:solidFill>
        <a:ln w="6350"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tIns="0" bIns="0" rtlCol="0" anchor="ctr"/>
        <a:lstStyle/>
        <a:p>
          <a:pPr algn="ctr"/>
          <a:r>
            <a:rPr lang="zh-CN" altLang="zh-CN" sz="1000">
              <a:solidFill>
                <a:schemeClr val="bg1">
                  <a:lumMod val="9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回复跟踪器</a:t>
          </a:r>
        </a:p>
      </xdr:txBody>
    </xdr:sp>
    <xdr:clientData fPrintsWithSheet="0"/>
  </xdr:twoCellAnchor>
  <xdr:twoCellAnchor>
    <xdr:from>
      <xdr:col>5</xdr:col>
      <xdr:colOff>544284</xdr:colOff>
      <xdr:row>0</xdr:row>
      <xdr:rowOff>0</xdr:rowOff>
    </xdr:from>
    <xdr:to>
      <xdr:col>9</xdr:col>
      <xdr:colOff>42126</xdr:colOff>
      <xdr:row>3</xdr:row>
      <xdr:rowOff>31296</xdr:rowOff>
    </xdr:to>
    <xdr:grpSp>
      <xdr:nvGrpSpPr>
        <xdr:cNvPr id="9" name="回复汇总" descr="&quot;&quot;" title="回复汇总"/>
        <xdr:cNvGrpSpPr/>
      </xdr:nvGrpSpPr>
      <xdr:grpSpPr>
        <a:xfrm>
          <a:off x="3716109" y="0"/>
          <a:ext cx="1536192" cy="488496"/>
          <a:chOff x="2992210" y="0"/>
          <a:chExt cx="1533525" cy="545646"/>
        </a:xfrm>
      </xdr:grpSpPr>
      <xdr:sp macro="" textlink="">
        <xdr:nvSpPr>
          <xdr:cNvPr id="6" name="同侧圆角矩形 5"/>
          <xdr:cNvSpPr/>
        </xdr:nvSpPr>
        <xdr:spPr>
          <a:xfrm>
            <a:off x="2992210" y="0"/>
            <a:ext cx="1533525" cy="420624"/>
          </a:xfrm>
          <a:prstGeom prst="round2SameRect">
            <a:avLst>
              <a:gd name="adj1" fmla="val 0"/>
              <a:gd name="adj2" fmla="val 17021"/>
            </a:avLst>
          </a:prstGeom>
          <a:solidFill>
            <a:schemeClr val="accent1"/>
          </a:solidFill>
          <a:ln w="6350"/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zh-CN" altLang="zh-CN" sz="1000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回复汇总</a:t>
            </a:r>
            <a:endParaRPr lang="en-US" sz="800" spc="100" baseline="0">
              <a:solidFill>
                <a:schemeClr val="bg1">
                  <a:lumMod val="9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8" name="任意多边形 14">
            <a:hlinkClick xmlns:r="http://schemas.openxmlformats.org/officeDocument/2006/relationships" r:id="rId2" tooltip="Click to view Summary"/>
          </xdr:cNvPr>
          <xdr:cNvSpPr>
            <a:spLocks/>
          </xdr:cNvSpPr>
        </xdr:nvSpPr>
        <xdr:spPr bwMode="auto">
          <a:xfrm>
            <a:off x="3576959" y="430083"/>
            <a:ext cx="364026" cy="115563"/>
          </a:xfrm>
          <a:custGeom>
            <a:avLst/>
            <a:gdLst>
              <a:gd name="T0" fmla="*/ 0 w 3286"/>
              <a:gd name="T1" fmla="*/ 0 h 938"/>
              <a:gd name="T2" fmla="*/ 3286 w 3286"/>
              <a:gd name="T3" fmla="*/ 0 h 938"/>
              <a:gd name="T4" fmla="*/ 3217 w 3286"/>
              <a:gd name="T5" fmla="*/ 7 h 938"/>
              <a:gd name="T6" fmla="*/ 3147 w 3286"/>
              <a:gd name="T7" fmla="*/ 19 h 938"/>
              <a:gd name="T8" fmla="*/ 3074 w 3286"/>
              <a:gd name="T9" fmla="*/ 35 h 938"/>
              <a:gd name="T10" fmla="*/ 3001 w 3286"/>
              <a:gd name="T11" fmla="*/ 57 h 938"/>
              <a:gd name="T12" fmla="*/ 2928 w 3286"/>
              <a:gd name="T13" fmla="*/ 81 h 938"/>
              <a:gd name="T14" fmla="*/ 2855 w 3286"/>
              <a:gd name="T15" fmla="*/ 108 h 938"/>
              <a:gd name="T16" fmla="*/ 2784 w 3286"/>
              <a:gd name="T17" fmla="*/ 140 h 938"/>
              <a:gd name="T18" fmla="*/ 2714 w 3286"/>
              <a:gd name="T19" fmla="*/ 174 h 938"/>
              <a:gd name="T20" fmla="*/ 2648 w 3286"/>
              <a:gd name="T21" fmla="*/ 211 h 938"/>
              <a:gd name="T22" fmla="*/ 2584 w 3286"/>
              <a:gd name="T23" fmla="*/ 251 h 938"/>
              <a:gd name="T24" fmla="*/ 2526 w 3286"/>
              <a:gd name="T25" fmla="*/ 292 h 938"/>
              <a:gd name="T26" fmla="*/ 2472 w 3286"/>
              <a:gd name="T27" fmla="*/ 335 h 938"/>
              <a:gd name="T28" fmla="*/ 2423 w 3286"/>
              <a:gd name="T29" fmla="*/ 380 h 938"/>
              <a:gd name="T30" fmla="*/ 2025 w 3286"/>
              <a:gd name="T31" fmla="*/ 780 h 938"/>
              <a:gd name="T32" fmla="*/ 1987 w 3286"/>
              <a:gd name="T33" fmla="*/ 816 h 938"/>
              <a:gd name="T34" fmla="*/ 1945 w 3286"/>
              <a:gd name="T35" fmla="*/ 846 h 938"/>
              <a:gd name="T36" fmla="*/ 1902 w 3286"/>
              <a:gd name="T37" fmla="*/ 872 h 938"/>
              <a:gd name="T38" fmla="*/ 1858 w 3286"/>
              <a:gd name="T39" fmla="*/ 895 h 938"/>
              <a:gd name="T40" fmla="*/ 1811 w 3286"/>
              <a:gd name="T41" fmla="*/ 912 h 938"/>
              <a:gd name="T42" fmla="*/ 1764 w 3286"/>
              <a:gd name="T43" fmla="*/ 925 h 938"/>
              <a:gd name="T44" fmla="*/ 1716 w 3286"/>
              <a:gd name="T45" fmla="*/ 934 h 938"/>
              <a:gd name="T46" fmla="*/ 1668 w 3286"/>
              <a:gd name="T47" fmla="*/ 938 h 938"/>
              <a:gd name="T48" fmla="*/ 1618 w 3286"/>
              <a:gd name="T49" fmla="*/ 938 h 938"/>
              <a:gd name="T50" fmla="*/ 1570 w 3286"/>
              <a:gd name="T51" fmla="*/ 934 h 938"/>
              <a:gd name="T52" fmla="*/ 1522 w 3286"/>
              <a:gd name="T53" fmla="*/ 925 h 938"/>
              <a:gd name="T54" fmla="*/ 1474 w 3286"/>
              <a:gd name="T55" fmla="*/ 912 h 938"/>
              <a:gd name="T56" fmla="*/ 1428 w 3286"/>
              <a:gd name="T57" fmla="*/ 895 h 938"/>
              <a:gd name="T58" fmla="*/ 1384 w 3286"/>
              <a:gd name="T59" fmla="*/ 872 h 938"/>
              <a:gd name="T60" fmla="*/ 1340 w 3286"/>
              <a:gd name="T61" fmla="*/ 846 h 938"/>
              <a:gd name="T62" fmla="*/ 1299 w 3286"/>
              <a:gd name="T63" fmla="*/ 816 h 938"/>
              <a:gd name="T64" fmla="*/ 1261 w 3286"/>
              <a:gd name="T65" fmla="*/ 780 h 938"/>
              <a:gd name="T66" fmla="*/ 862 w 3286"/>
              <a:gd name="T67" fmla="*/ 380 h 938"/>
              <a:gd name="T68" fmla="*/ 814 w 3286"/>
              <a:gd name="T69" fmla="*/ 335 h 938"/>
              <a:gd name="T70" fmla="*/ 760 w 3286"/>
              <a:gd name="T71" fmla="*/ 292 h 938"/>
              <a:gd name="T72" fmla="*/ 701 w 3286"/>
              <a:gd name="T73" fmla="*/ 251 h 938"/>
              <a:gd name="T74" fmla="*/ 638 w 3286"/>
              <a:gd name="T75" fmla="*/ 211 h 938"/>
              <a:gd name="T76" fmla="*/ 572 w 3286"/>
              <a:gd name="T77" fmla="*/ 174 h 938"/>
              <a:gd name="T78" fmla="*/ 502 w 3286"/>
              <a:gd name="T79" fmla="*/ 140 h 938"/>
              <a:gd name="T80" fmla="*/ 431 w 3286"/>
              <a:gd name="T81" fmla="*/ 108 h 938"/>
              <a:gd name="T82" fmla="*/ 358 w 3286"/>
              <a:gd name="T83" fmla="*/ 81 h 938"/>
              <a:gd name="T84" fmla="*/ 285 w 3286"/>
              <a:gd name="T85" fmla="*/ 57 h 938"/>
              <a:gd name="T86" fmla="*/ 211 w 3286"/>
              <a:gd name="T87" fmla="*/ 35 h 938"/>
              <a:gd name="T88" fmla="*/ 139 w 3286"/>
              <a:gd name="T89" fmla="*/ 19 h 938"/>
              <a:gd name="T90" fmla="*/ 68 w 3286"/>
              <a:gd name="T91" fmla="*/ 7 h 938"/>
              <a:gd name="T92" fmla="*/ 0 w 3286"/>
              <a:gd name="T93" fmla="*/ 0 h 9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3286" h="938">
                <a:moveTo>
                  <a:pt x="0" y="0"/>
                </a:moveTo>
                <a:lnTo>
                  <a:pt x="3286" y="0"/>
                </a:lnTo>
                <a:lnTo>
                  <a:pt x="3217" y="7"/>
                </a:lnTo>
                <a:lnTo>
                  <a:pt x="3147" y="19"/>
                </a:lnTo>
                <a:lnTo>
                  <a:pt x="3074" y="35"/>
                </a:lnTo>
                <a:lnTo>
                  <a:pt x="3001" y="57"/>
                </a:lnTo>
                <a:lnTo>
                  <a:pt x="2928" y="81"/>
                </a:lnTo>
                <a:lnTo>
                  <a:pt x="2855" y="108"/>
                </a:lnTo>
                <a:lnTo>
                  <a:pt x="2784" y="140"/>
                </a:lnTo>
                <a:lnTo>
                  <a:pt x="2714" y="174"/>
                </a:lnTo>
                <a:lnTo>
                  <a:pt x="2648" y="211"/>
                </a:lnTo>
                <a:lnTo>
                  <a:pt x="2584" y="251"/>
                </a:lnTo>
                <a:lnTo>
                  <a:pt x="2526" y="292"/>
                </a:lnTo>
                <a:lnTo>
                  <a:pt x="2472" y="335"/>
                </a:lnTo>
                <a:lnTo>
                  <a:pt x="2423" y="380"/>
                </a:lnTo>
                <a:lnTo>
                  <a:pt x="2025" y="780"/>
                </a:lnTo>
                <a:lnTo>
                  <a:pt x="1987" y="816"/>
                </a:lnTo>
                <a:lnTo>
                  <a:pt x="1945" y="846"/>
                </a:lnTo>
                <a:lnTo>
                  <a:pt x="1902" y="872"/>
                </a:lnTo>
                <a:lnTo>
                  <a:pt x="1858" y="895"/>
                </a:lnTo>
                <a:lnTo>
                  <a:pt x="1811" y="912"/>
                </a:lnTo>
                <a:lnTo>
                  <a:pt x="1764" y="925"/>
                </a:lnTo>
                <a:lnTo>
                  <a:pt x="1716" y="934"/>
                </a:lnTo>
                <a:lnTo>
                  <a:pt x="1668" y="938"/>
                </a:lnTo>
                <a:lnTo>
                  <a:pt x="1618" y="938"/>
                </a:lnTo>
                <a:lnTo>
                  <a:pt x="1570" y="934"/>
                </a:lnTo>
                <a:lnTo>
                  <a:pt x="1522" y="925"/>
                </a:lnTo>
                <a:lnTo>
                  <a:pt x="1474" y="912"/>
                </a:lnTo>
                <a:lnTo>
                  <a:pt x="1428" y="895"/>
                </a:lnTo>
                <a:lnTo>
                  <a:pt x="1384" y="872"/>
                </a:lnTo>
                <a:lnTo>
                  <a:pt x="1340" y="846"/>
                </a:lnTo>
                <a:lnTo>
                  <a:pt x="1299" y="816"/>
                </a:lnTo>
                <a:lnTo>
                  <a:pt x="1261" y="780"/>
                </a:lnTo>
                <a:lnTo>
                  <a:pt x="862" y="380"/>
                </a:lnTo>
                <a:lnTo>
                  <a:pt x="814" y="335"/>
                </a:lnTo>
                <a:lnTo>
                  <a:pt x="760" y="292"/>
                </a:lnTo>
                <a:lnTo>
                  <a:pt x="701" y="251"/>
                </a:lnTo>
                <a:lnTo>
                  <a:pt x="638" y="211"/>
                </a:lnTo>
                <a:lnTo>
                  <a:pt x="572" y="174"/>
                </a:lnTo>
                <a:lnTo>
                  <a:pt x="502" y="140"/>
                </a:lnTo>
                <a:lnTo>
                  <a:pt x="431" y="108"/>
                </a:lnTo>
                <a:lnTo>
                  <a:pt x="358" y="81"/>
                </a:lnTo>
                <a:lnTo>
                  <a:pt x="285" y="57"/>
                </a:lnTo>
                <a:lnTo>
                  <a:pt x="211" y="35"/>
                </a:lnTo>
                <a:lnTo>
                  <a:pt x="139" y="19"/>
                </a:lnTo>
                <a:lnTo>
                  <a:pt x="68" y="7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 fPrintsWithSheet="0"/>
  </xdr:twoCellAnchor>
  <xdr:twoCellAnchor>
    <xdr:from>
      <xdr:col>14</xdr:col>
      <xdr:colOff>60614</xdr:colOff>
      <xdr:row>19</xdr:row>
      <xdr:rowOff>1</xdr:rowOff>
    </xdr:from>
    <xdr:to>
      <xdr:col>16</xdr:col>
      <xdr:colOff>181840</xdr:colOff>
      <xdr:row>19</xdr:row>
      <xdr:rowOff>60614</xdr:rowOff>
    </xdr:to>
    <xdr:sp macro="" textlink="">
      <xdr:nvSpPr>
        <xdr:cNvPr id="37" name="阴影图形" descr="&quot;&quot;" title="阴影图形"/>
        <xdr:cNvSpPr/>
      </xdr:nvSpPr>
      <xdr:spPr>
        <a:xfrm>
          <a:off x="9585614" y="5598103"/>
          <a:ext cx="3368385" cy="60613"/>
        </a:xfrm>
        <a:prstGeom prst="rect">
          <a:avLst/>
        </a:prstGeom>
        <a:gradFill flip="none" rotWithShape="1">
          <a:gsLst>
            <a:gs pos="0">
              <a:schemeClr val="tx1">
                <a:lumMod val="50000"/>
                <a:lumOff val="50000"/>
              </a:schemeClr>
            </a:gs>
            <a:gs pos="100000">
              <a:schemeClr val="bg1">
                <a:lumMod val="95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14</xdr:col>
      <xdr:colOff>13856</xdr:colOff>
      <xdr:row>19</xdr:row>
      <xdr:rowOff>867</xdr:rowOff>
    </xdr:from>
    <xdr:to>
      <xdr:col>14</xdr:col>
      <xdr:colOff>64944</xdr:colOff>
      <xdr:row>19</xdr:row>
      <xdr:rowOff>46586</xdr:rowOff>
    </xdr:to>
    <xdr:sp macro="" textlink="">
      <xdr:nvSpPr>
        <xdr:cNvPr id="39" name="阴影图形" descr="&quot;&quot;" title="阴影图形"/>
        <xdr:cNvSpPr/>
      </xdr:nvSpPr>
      <xdr:spPr>
        <a:xfrm>
          <a:off x="9538856" y="5598969"/>
          <a:ext cx="51088" cy="45719"/>
        </a:xfrm>
        <a:prstGeom prst="rect">
          <a:avLst/>
        </a:prstGeom>
        <a:gradFill flip="none" rotWithShape="1">
          <a:gsLst>
            <a:gs pos="0">
              <a:schemeClr val="tx1">
                <a:lumMod val="50000"/>
                <a:lumOff val="50000"/>
              </a:schemeClr>
            </a:gs>
            <a:gs pos="61000">
              <a:schemeClr val="bg1">
                <a:lumMod val="95000"/>
              </a:schemeClr>
            </a:gs>
          </a:gsLst>
          <a:lin ang="600000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17</xdr:col>
      <xdr:colOff>1</xdr:colOff>
      <xdr:row>19</xdr:row>
      <xdr:rowOff>0</xdr:rowOff>
    </xdr:from>
    <xdr:to>
      <xdr:col>17</xdr:col>
      <xdr:colOff>51089</xdr:colOff>
      <xdr:row>19</xdr:row>
      <xdr:rowOff>45719</xdr:rowOff>
    </xdr:to>
    <xdr:sp macro="" textlink="">
      <xdr:nvSpPr>
        <xdr:cNvPr id="40" name="阴影图形" descr="&quot;&quot;" title="阴影图形"/>
        <xdr:cNvSpPr/>
      </xdr:nvSpPr>
      <xdr:spPr>
        <a:xfrm>
          <a:off x="12936992" y="5602741"/>
          <a:ext cx="51088" cy="45719"/>
        </a:xfrm>
        <a:prstGeom prst="rect">
          <a:avLst/>
        </a:prstGeom>
        <a:gradFill flip="none" rotWithShape="1">
          <a:gsLst>
            <a:gs pos="0">
              <a:schemeClr val="tx1">
                <a:lumMod val="50000"/>
                <a:lumOff val="50000"/>
              </a:schemeClr>
            </a:gs>
            <a:gs pos="46000">
              <a:schemeClr val="bg1">
                <a:lumMod val="9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16</xdr:col>
      <xdr:colOff>179767</xdr:colOff>
      <xdr:row>3</xdr:row>
      <xdr:rowOff>48296</xdr:rowOff>
    </xdr:from>
    <xdr:to>
      <xdr:col>17</xdr:col>
      <xdr:colOff>72390</xdr:colOff>
      <xdr:row>18</xdr:row>
      <xdr:rowOff>391731</xdr:rowOff>
    </xdr:to>
    <xdr:sp macro="" textlink="">
      <xdr:nvSpPr>
        <xdr:cNvPr id="41" name="阴影图形" descr="&quot;&quot;" title="阴影图形"/>
        <xdr:cNvSpPr/>
      </xdr:nvSpPr>
      <xdr:spPr>
        <a:xfrm>
          <a:off x="12935218" y="563451"/>
          <a:ext cx="72390" cy="5049590"/>
        </a:xfrm>
        <a:prstGeom prst="rect">
          <a:avLst/>
        </a:prstGeom>
        <a:gradFill>
          <a:gsLst>
            <a:gs pos="0">
              <a:schemeClr val="tx1">
                <a:lumMod val="50000"/>
                <a:lumOff val="50000"/>
              </a:schemeClr>
            </a:gs>
            <a:gs pos="100000">
              <a:schemeClr val="bg1">
                <a:lumMod val="95000"/>
              </a:scheme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16</xdr:col>
      <xdr:colOff>179767</xdr:colOff>
      <xdr:row>3</xdr:row>
      <xdr:rowOff>2683</xdr:rowOff>
    </xdr:from>
    <xdr:to>
      <xdr:col>17</xdr:col>
      <xdr:colOff>51088</xdr:colOff>
      <xdr:row>3</xdr:row>
      <xdr:rowOff>48402</xdr:rowOff>
    </xdr:to>
    <xdr:sp macro="" textlink="">
      <xdr:nvSpPr>
        <xdr:cNvPr id="42" name="阴影图形" descr="&quot;&quot;" title="阴影图形"/>
        <xdr:cNvSpPr/>
      </xdr:nvSpPr>
      <xdr:spPr>
        <a:xfrm>
          <a:off x="12935218" y="517838"/>
          <a:ext cx="51088" cy="45719"/>
        </a:xfrm>
        <a:prstGeom prst="rect">
          <a:avLst/>
        </a:prstGeom>
        <a:gradFill flip="none" rotWithShape="1">
          <a:gsLst>
            <a:gs pos="0">
              <a:schemeClr val="tx1">
                <a:lumMod val="50000"/>
                <a:lumOff val="50000"/>
              </a:schemeClr>
            </a:gs>
            <a:gs pos="46000">
              <a:schemeClr val="bg1">
                <a:lumMod val="95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5</xdr:col>
      <xdr:colOff>85725</xdr:colOff>
      <xdr:row>6</xdr:row>
      <xdr:rowOff>176212</xdr:rowOff>
    </xdr:from>
    <xdr:to>
      <xdr:col>12</xdr:col>
      <xdr:colOff>333375</xdr:colOff>
      <xdr:row>10</xdr:row>
      <xdr:rowOff>219075</xdr:rowOff>
    </xdr:to>
    <xdr:graphicFrame macro="">
      <xdr:nvGraphicFramePr>
        <xdr:cNvPr id="2" name="肯定参加图表" descr="显示按新娘、新郎和其它进行分组的参加来宾统计的条形图。" title="参加人员细分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47625</xdr:colOff>
      <xdr:row>11</xdr:row>
      <xdr:rowOff>152399</xdr:rowOff>
    </xdr:from>
    <xdr:to>
      <xdr:col>12</xdr:col>
      <xdr:colOff>292989</xdr:colOff>
      <xdr:row>15</xdr:row>
      <xdr:rowOff>199643</xdr:rowOff>
    </xdr:to>
    <xdr:graphicFrame macro="">
      <xdr:nvGraphicFramePr>
        <xdr:cNvPr id="38" name="未出席图表" descr="显示按新娘、新郎等进行分组的未出席来宾人数的条形图。" title="未出席细目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4</xdr:row>
      <xdr:rowOff>390525</xdr:rowOff>
    </xdr:from>
    <xdr:to>
      <xdr:col>3</xdr:col>
      <xdr:colOff>10668</xdr:colOff>
      <xdr:row>5</xdr:row>
      <xdr:rowOff>168231</xdr:rowOff>
    </xdr:to>
    <xdr:grpSp>
      <xdr:nvGrpSpPr>
        <xdr:cNvPr id="166" name="婚礼日期" descr="&quot;&quot;" title="婚礼日期"/>
        <xdr:cNvGrpSpPr/>
      </xdr:nvGrpSpPr>
      <xdr:grpSpPr>
        <a:xfrm>
          <a:off x="9525" y="1000125"/>
          <a:ext cx="1791843" cy="415881"/>
          <a:chOff x="9525" y="1095374"/>
          <a:chExt cx="1322385" cy="425406"/>
        </a:xfrm>
      </xdr:grpSpPr>
      <xdr:sp macro="" textlink="">
        <xdr:nvSpPr>
          <xdr:cNvPr id="167" name="婚礼日期标签" descr="&quot;&quot;" title="婚礼日期标签"/>
          <xdr:cNvSpPr txBox="1"/>
        </xdr:nvSpPr>
        <xdr:spPr>
          <a:xfrm>
            <a:off x="9525" y="1095374"/>
            <a:ext cx="1322385" cy="323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婚礼日期</a:t>
            </a:r>
            <a:endParaRPr lang="en-US" sz="400" b="1" spc="100" baseline="0">
              <a:solidFill>
                <a:schemeClr val="bg1">
                  <a:lumMod val="9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cxnSp macro="">
        <xdr:nvCxnSpPr>
          <xdr:cNvPr id="168" name="边框" descr="&quot;&quot;" title="边框"/>
          <xdr:cNvCxnSpPr/>
        </xdr:nvCxnSpPr>
        <xdr:spPr>
          <a:xfrm flipV="1">
            <a:off x="156210" y="1486373"/>
            <a:ext cx="1064895" cy="3337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边框" descr="&quot;&quot;" title="边框"/>
          <xdr:cNvCxnSpPr/>
        </xdr:nvCxnSpPr>
        <xdr:spPr>
          <a:xfrm>
            <a:off x="156210" y="1520780"/>
            <a:ext cx="1064895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10</xdr:row>
      <xdr:rowOff>323851</xdr:rowOff>
    </xdr:from>
    <xdr:to>
      <xdr:col>3</xdr:col>
      <xdr:colOff>1143</xdr:colOff>
      <xdr:row>12</xdr:row>
      <xdr:rowOff>182881</xdr:rowOff>
    </xdr:to>
    <xdr:sp macro="" textlink="出席总人数">
      <xdr:nvSpPr>
        <xdr:cNvPr id="170" name="# 参加" descr="&quot;&quot;" title="# 参加"/>
        <xdr:cNvSpPr txBox="1"/>
      </xdr:nvSpPr>
      <xdr:spPr>
        <a:xfrm>
          <a:off x="0" y="3400426"/>
          <a:ext cx="1344168" cy="6400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4D2C95D1-307C-4F2E-A9ED-4E9A5E9A4E35}" type="TxLink">
            <a:rPr lang="en-US" sz="2400" b="0" i="0" u="none" strike="noStrike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/>
            <a:t>0</a:t>
          </a:fld>
          <a:endParaRPr lang="en-US" sz="28700" b="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0</xdr:col>
      <xdr:colOff>9525</xdr:colOff>
      <xdr:row>10</xdr:row>
      <xdr:rowOff>66676</xdr:rowOff>
    </xdr:from>
    <xdr:to>
      <xdr:col>3</xdr:col>
      <xdr:colOff>10668</xdr:colOff>
      <xdr:row>10</xdr:row>
      <xdr:rowOff>362818</xdr:rowOff>
    </xdr:to>
    <xdr:grpSp>
      <xdr:nvGrpSpPr>
        <xdr:cNvPr id="171" name="参加" descr="&quot;&quot;" title="出席"/>
        <xdr:cNvGrpSpPr/>
      </xdr:nvGrpSpPr>
      <xdr:grpSpPr>
        <a:xfrm>
          <a:off x="9525" y="3028951"/>
          <a:ext cx="1791843" cy="296142"/>
          <a:chOff x="9525" y="3076575"/>
          <a:chExt cx="1324737" cy="296142"/>
        </a:xfrm>
      </xdr:grpSpPr>
      <xdr:sp macro="" textlink="">
        <xdr:nvSpPr>
          <xdr:cNvPr id="172" name="# 参加标签" descr="&quot;&quot;" title="# 参加标签"/>
          <xdr:cNvSpPr txBox="1"/>
        </xdr:nvSpPr>
        <xdr:spPr>
          <a:xfrm>
            <a:off x="9525" y="3076575"/>
            <a:ext cx="1324737" cy="2095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marL="0" indent="0"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参加</a:t>
            </a:r>
            <a:endParaRPr lang="en-US" sz="400" b="1" spc="100" baseline="0">
              <a:solidFill>
                <a:schemeClr val="bg1">
                  <a:lumMod val="9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cxnSp macro="">
        <xdr:nvCxnSpPr>
          <xdr:cNvPr id="173" name="边框" descr="&quot;&quot;" title="边框"/>
          <xdr:cNvCxnSpPr/>
        </xdr:nvCxnSpPr>
        <xdr:spPr>
          <a:xfrm>
            <a:off x="77456" y="3343275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4" name="边框" descr="&quot;&quot;" title="边框"/>
          <xdr:cNvCxnSpPr/>
        </xdr:nvCxnSpPr>
        <xdr:spPr>
          <a:xfrm>
            <a:off x="77456" y="3372717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9525</xdr:colOff>
      <xdr:row>7</xdr:row>
      <xdr:rowOff>247652</xdr:rowOff>
    </xdr:from>
    <xdr:to>
      <xdr:col>3</xdr:col>
      <xdr:colOff>10668</xdr:colOff>
      <xdr:row>8</xdr:row>
      <xdr:rowOff>153349</xdr:rowOff>
    </xdr:to>
    <xdr:grpSp>
      <xdr:nvGrpSpPr>
        <xdr:cNvPr id="175" name="剩余天数" descr="&quot;&quot;" title="剩余天数"/>
        <xdr:cNvGrpSpPr/>
      </xdr:nvGrpSpPr>
      <xdr:grpSpPr>
        <a:xfrm>
          <a:off x="9525" y="2038352"/>
          <a:ext cx="1791843" cy="296222"/>
          <a:chOff x="9525" y="2171701"/>
          <a:chExt cx="1324737" cy="296222"/>
        </a:xfrm>
      </xdr:grpSpPr>
      <xdr:cxnSp macro="">
        <xdr:nvCxnSpPr>
          <xdr:cNvPr id="176" name="边框" descr="&quot;&quot;" title="边框"/>
          <xdr:cNvCxnSpPr/>
        </xdr:nvCxnSpPr>
        <xdr:spPr>
          <a:xfrm>
            <a:off x="77456" y="2442141"/>
            <a:ext cx="114387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7" name="边框" descr="&quot;&quot;" title="边框"/>
          <xdr:cNvCxnSpPr/>
        </xdr:nvCxnSpPr>
        <xdr:spPr>
          <a:xfrm>
            <a:off x="77456" y="2467923"/>
            <a:ext cx="114387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8" name="# 剩余天数标签" descr="&quot;&quot;" title="剩余天数标签"/>
          <xdr:cNvSpPr txBox="1"/>
        </xdr:nvSpPr>
        <xdr:spPr>
          <a:xfrm>
            <a:off x="9525" y="2171701"/>
            <a:ext cx="1324737" cy="2190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marL="0" indent="0"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剩余天数</a:t>
            </a:r>
            <a:endParaRPr lang="en-US" sz="400" b="1" spc="100" baseline="0">
              <a:solidFill>
                <a:schemeClr val="bg1">
                  <a:lumMod val="9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</xdr:grpSp>
    <xdr:clientData/>
  </xdr:twoCellAnchor>
  <xdr:twoCellAnchor>
    <xdr:from>
      <xdr:col>0</xdr:col>
      <xdr:colOff>0</xdr:colOff>
      <xdr:row>8</xdr:row>
      <xdr:rowOff>120894</xdr:rowOff>
    </xdr:from>
    <xdr:to>
      <xdr:col>3</xdr:col>
      <xdr:colOff>1143</xdr:colOff>
      <xdr:row>9</xdr:row>
      <xdr:rowOff>370449</xdr:rowOff>
    </xdr:to>
    <xdr:sp macro="" textlink="剩余天数">
      <xdr:nvSpPr>
        <xdr:cNvPr id="179" name="# 剩余天数" descr="距离婚礼的剩余天数。链接至单元格 A10." title="剩余天数标签"/>
        <xdr:cNvSpPr txBox="1"/>
      </xdr:nvSpPr>
      <xdr:spPr>
        <a:xfrm>
          <a:off x="0" y="2416419"/>
          <a:ext cx="1344168" cy="6400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CB6A9845-B733-4744-9FAB-7B6681A7CE7A}" type="TxLink">
            <a:rPr lang="en-US" sz="2400" b="0" i="0" u="none" strike="noStrike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/>
            <a:t>283</a:t>
          </a:fld>
          <a:endParaRPr lang="en-US" sz="148100" b="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0</xdr:col>
      <xdr:colOff>9525</xdr:colOff>
      <xdr:row>12</xdr:row>
      <xdr:rowOff>209551</xdr:rowOff>
    </xdr:from>
    <xdr:to>
      <xdr:col>3</xdr:col>
      <xdr:colOff>10668</xdr:colOff>
      <xdr:row>13</xdr:row>
      <xdr:rowOff>115168</xdr:rowOff>
    </xdr:to>
    <xdr:grpSp>
      <xdr:nvGrpSpPr>
        <xdr:cNvPr id="180" name="不参加" descr="&quot;&quot;" title="不参加"/>
        <xdr:cNvGrpSpPr/>
      </xdr:nvGrpSpPr>
      <xdr:grpSpPr>
        <a:xfrm>
          <a:off x="9525" y="3952876"/>
          <a:ext cx="1791843" cy="296142"/>
          <a:chOff x="9525" y="4048125"/>
          <a:chExt cx="1324737" cy="296142"/>
        </a:xfrm>
      </xdr:grpSpPr>
      <xdr:sp macro="" textlink="">
        <xdr:nvSpPr>
          <xdr:cNvPr id="181" name="# 不参加标签" descr="&quot;&quot;" title="不参加标签"/>
          <xdr:cNvSpPr txBox="1"/>
        </xdr:nvSpPr>
        <xdr:spPr>
          <a:xfrm>
            <a:off x="9525" y="4048125"/>
            <a:ext cx="1324737" cy="2095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marL="0" indent="0"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不参加</a:t>
            </a:r>
            <a:endParaRPr lang="en-US" sz="400" b="1" spc="100" baseline="0">
              <a:solidFill>
                <a:schemeClr val="bg1">
                  <a:lumMod val="9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cxnSp macro="">
        <xdr:nvCxnSpPr>
          <xdr:cNvPr id="182" name="边框" descr="&quot;&quot;" title="边框"/>
          <xdr:cNvCxnSpPr/>
        </xdr:nvCxnSpPr>
        <xdr:spPr>
          <a:xfrm>
            <a:off x="77456" y="4314825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边框" descr="&quot;&quot;" title="边框"/>
          <xdr:cNvCxnSpPr/>
        </xdr:nvCxnSpPr>
        <xdr:spPr>
          <a:xfrm>
            <a:off x="77456" y="4344267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13</xdr:row>
      <xdr:rowOff>114301</xdr:rowOff>
    </xdr:from>
    <xdr:to>
      <xdr:col>3</xdr:col>
      <xdr:colOff>1143</xdr:colOff>
      <xdr:row>14</xdr:row>
      <xdr:rowOff>257176</xdr:rowOff>
    </xdr:to>
    <xdr:sp macro="" textlink="不出席总人数">
      <xdr:nvSpPr>
        <xdr:cNvPr id="184" name="# 不参加" descr="未出席的来宾人数。链接至单元格 A17。" title="# 不参加"/>
        <xdr:cNvSpPr txBox="1"/>
      </xdr:nvSpPr>
      <xdr:spPr>
        <a:xfrm>
          <a:off x="0" y="4362451"/>
          <a:ext cx="1344168" cy="533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E9E9F20E-8394-4F41-93AB-D5913E16793D}" type="TxLink">
            <a:rPr lang="en-US" sz="2400" b="0" i="0" u="none" strike="noStrike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/>
            <a:t>9</a:t>
          </a:fld>
          <a:endParaRPr lang="en-US" sz="148100" b="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0</xdr:col>
      <xdr:colOff>9525</xdr:colOff>
      <xdr:row>15</xdr:row>
      <xdr:rowOff>47626</xdr:rowOff>
    </xdr:from>
    <xdr:to>
      <xdr:col>3</xdr:col>
      <xdr:colOff>10668</xdr:colOff>
      <xdr:row>15</xdr:row>
      <xdr:rowOff>343768</xdr:rowOff>
    </xdr:to>
    <xdr:grpSp>
      <xdr:nvGrpSpPr>
        <xdr:cNvPr id="185" name="未决" descr="&quot;&quot;" title="未决"/>
        <xdr:cNvGrpSpPr/>
      </xdr:nvGrpSpPr>
      <xdr:grpSpPr>
        <a:xfrm>
          <a:off x="9525" y="4962526"/>
          <a:ext cx="1791843" cy="296142"/>
          <a:chOff x="9525" y="5105400"/>
          <a:chExt cx="1324737" cy="296142"/>
        </a:xfrm>
      </xdr:grpSpPr>
      <xdr:sp macro="" textlink="">
        <xdr:nvSpPr>
          <xdr:cNvPr id="186" name="# 未决标签" descr="&quot;&quot;" title="# 未决标签"/>
          <xdr:cNvSpPr txBox="1"/>
        </xdr:nvSpPr>
        <xdr:spPr>
          <a:xfrm>
            <a:off x="9525" y="5105400"/>
            <a:ext cx="1324737" cy="2095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b">
            <a:noAutofit/>
          </a:bodyPr>
          <a:lstStyle/>
          <a:p>
            <a:pPr marL="0" indent="0" algn="ctr"/>
            <a:r>
              <a:rPr lang="zh-CN" altLang="zh-CN" sz="800" b="1">
                <a:solidFill>
                  <a:schemeClr val="bg1">
                    <a:lumMod val="9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未决</a:t>
            </a:r>
            <a:endParaRPr lang="en-US" sz="400" b="1" spc="100" baseline="0">
              <a:solidFill>
                <a:schemeClr val="bg1">
                  <a:lumMod val="9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cxnSp macro="">
        <xdr:nvCxnSpPr>
          <xdr:cNvPr id="187" name="边框" descr="&quot;&quot;" title="边框"/>
          <xdr:cNvCxnSpPr/>
        </xdr:nvCxnSpPr>
        <xdr:spPr>
          <a:xfrm>
            <a:off x="77456" y="5372100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8" name="边框" descr="&quot;&quot;" title="边框"/>
          <xdr:cNvCxnSpPr/>
        </xdr:nvCxnSpPr>
        <xdr:spPr>
          <a:xfrm>
            <a:off x="77456" y="5401542"/>
            <a:ext cx="1143000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15</xdr:row>
      <xdr:rowOff>352426</xdr:rowOff>
    </xdr:from>
    <xdr:to>
      <xdr:col>3</xdr:col>
      <xdr:colOff>1143</xdr:colOff>
      <xdr:row>17</xdr:row>
      <xdr:rowOff>104776</xdr:rowOff>
    </xdr:to>
    <xdr:sp macro="" textlink="未定_请尽快回复">
      <xdr:nvSpPr>
        <xdr:cNvPr id="189" name="# 未决" descr="邀请未决统计。链接至单元格 A21。" title="未决标签"/>
        <xdr:cNvSpPr txBox="1"/>
      </xdr:nvSpPr>
      <xdr:spPr>
        <a:xfrm>
          <a:off x="0" y="5381626"/>
          <a:ext cx="1344168" cy="533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DF0747E7-CCD7-4629-9CAA-A55FE850DC2C}" type="TxLink">
            <a:rPr lang="en-US" sz="2400" b="0" i="0" u="none" strike="noStrike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/>
            <a:t>2</a:t>
          </a:fld>
          <a:endParaRPr lang="en-US" sz="400000" b="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邀请人数" displayName="邀请人数" ref="E7:P19" totalsRowCount="1" headerRowDxfId="26" dataDxfId="25" totalsRowDxfId="24">
  <tableColumns count="12">
    <tableColumn id="1" name="来宾姓名" totalsRowLabel="总计:" dataDxfId="23" totalsRowDxfId="11"/>
    <tableColumn id="5" name="已发送？" totalsRowFunction="count" dataDxfId="22" totalsRowDxfId="10"/>
    <tableColumn id="2" name="回复" totalsRowFunction="count" dataDxfId="21" totalsRowDxfId="9"/>
    <tableColumn id="3" name="随行人数" totalsRowFunction="sum" dataDxfId="20" totalsRowDxfId="8"/>
    <tableColumn id="4" name="来宾" dataDxfId="19" totalsRowDxfId="7"/>
    <tableColumn id="8" name="关系" dataDxfId="18" totalsRowDxfId="6"/>
    <tableColumn id="12" name="地址" dataDxfId="17" totalsRowDxfId="5"/>
    <tableColumn id="11" name="城市" dataDxfId="16" totalsRowDxfId="4"/>
    <tableColumn id="10" name="省/市/自治区" dataDxfId="15" totalsRowDxfId="3"/>
    <tableColumn id="9" name="邮政编码" dataDxfId="14" totalsRowDxfId="2"/>
    <tableColumn id="6" name="电话" dataDxfId="13" totalsRowDxfId="1"/>
    <tableColumn id="7" name="电子邮件" dataDxfId="12" totalsRowDxfId="0"/>
  </tableColumns>
  <tableStyleInfo name="Wedding Invite Tracker" showFirstColumn="0" showLastColumn="0" showRowStripes="1" showColumnStripes="0"/>
  <extLst>
    <ext xmlns:x14="http://schemas.microsoft.com/office/spreadsheetml/2009/9/main" uri="{504A1905-F514-4f6f-8877-14C23A59335A}">
      <x14:table altText="邀请跟踪器" altTextSummary="使用本表格来输入您邀请参加婚礼的人员信息。跟踪收到邀请的人员、已回复的人员、随行人数及与新人的关系和联系信息。"/>
    </ext>
  </extLst>
</table>
</file>

<file path=xl/theme/theme1.xml><?xml version="1.0" encoding="utf-8"?>
<a:theme xmlns:a="http://schemas.openxmlformats.org/drawingml/2006/main" name="Office Theme">
  <a:themeElements>
    <a:clrScheme name="Wedding Invite Tracker">
      <a:dk1>
        <a:srgbClr val="000000"/>
      </a:dk1>
      <a:lt1>
        <a:srgbClr val="FFFFFF"/>
      </a:lt1>
      <a:dk2>
        <a:srgbClr val="361F2E"/>
      </a:dk2>
      <a:lt2>
        <a:srgbClr val="F2F1EF"/>
      </a:lt2>
      <a:accent1>
        <a:srgbClr val="E6C0AF"/>
      </a:accent1>
      <a:accent2>
        <a:srgbClr val="8FB1BA"/>
      </a:accent2>
      <a:accent3>
        <a:srgbClr val="EBBF69"/>
      </a:accent3>
      <a:accent4>
        <a:srgbClr val="9A5130"/>
      </a:accent4>
      <a:accent5>
        <a:srgbClr val="A1B872"/>
      </a:accent5>
      <a:accent6>
        <a:srgbClr val="9E6B7B"/>
      </a:accent6>
      <a:hlink>
        <a:srgbClr val="8FB1BA"/>
      </a:hlink>
      <a:folHlink>
        <a:srgbClr val="9E6B7B"/>
      </a:folHlink>
    </a:clrScheme>
    <a:fontScheme name="Wedding Invite Tracker">
      <a:majorFont>
        <a:latin typeface="Century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omeone@example.com" TargetMode="External"/><Relationship Id="rId1" Type="http://schemas.openxmlformats.org/officeDocument/2006/relationships/hyperlink" Target="mailto:someone@example.com" TargetMode="External"/><Relationship Id="rId6" Type="http://schemas.openxmlformats.org/officeDocument/2006/relationships/table" Target="../tables/table1.xml"/><Relationship Id="rId5" Type="http://schemas.openxmlformats.org/officeDocument/2006/relationships/image" Target="../media/image1.png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/>
    <pageSetUpPr autoPageBreaks="0" fitToPage="1"/>
  </sheetPr>
  <dimension ref="A1:P21"/>
  <sheetViews>
    <sheetView showGridLines="0" tabSelected="1" zoomScaleNormal="100" workbookViewId="0"/>
  </sheetViews>
  <sheetFormatPr defaultRowHeight="21" customHeight="1" x14ac:dyDescent="0.25"/>
  <cols>
    <col min="1" max="1" width="25" style="1" customWidth="1"/>
    <col min="2" max="2" width="1" style="2" customWidth="1"/>
    <col min="3" max="3" width="1.5703125" style="3" customWidth="1"/>
    <col min="4" max="4" width="4.85546875" style="4" customWidth="1"/>
    <col min="5" max="5" width="17.42578125" style="4" customWidth="1"/>
    <col min="6" max="8" width="9.140625" style="4" customWidth="1"/>
    <col min="9" max="9" width="11.28515625" style="4" customWidth="1"/>
    <col min="10" max="10" width="14" style="4" customWidth="1"/>
    <col min="11" max="11" width="24.85546875" style="4" customWidth="1"/>
    <col min="12" max="12" width="13.85546875" style="4" customWidth="1"/>
    <col min="13" max="13" width="9.140625" style="4" customWidth="1"/>
    <col min="14" max="14" width="7.42578125" style="4" customWidth="1"/>
    <col min="15" max="15" width="16.5703125" style="4" customWidth="1"/>
    <col min="16" max="16" width="24.7109375" style="4" customWidth="1"/>
    <col min="17" max="16384" width="9.140625" style="4"/>
  </cols>
  <sheetData>
    <row r="1" spans="1:16" ht="12" x14ac:dyDescent="0.25"/>
    <row r="2" spans="1:16" ht="12" x14ac:dyDescent="0.25"/>
    <row r="3" spans="1:16" ht="12" x14ac:dyDescent="0.25"/>
    <row r="4" spans="1:16" ht="12" x14ac:dyDescent="0.25"/>
    <row r="5" spans="1:16" ht="51" customHeight="1" x14ac:dyDescent="0.25">
      <c r="E5" s="5" t="s">
        <v>1</v>
      </c>
      <c r="F5" s="6"/>
      <c r="G5" s="6"/>
      <c r="H5" s="6"/>
      <c r="I5" s="6"/>
      <c r="J5" s="6"/>
      <c r="K5" s="6"/>
      <c r="L5" s="6"/>
    </row>
    <row r="6" spans="1:16" ht="14.25" customHeight="1" x14ac:dyDescent="0.25"/>
    <row r="7" spans="1:16" ht="30.75" customHeight="1" x14ac:dyDescent="0.25">
      <c r="A7" s="28">
        <f ca="1">TODAY()+283</f>
        <v>42788</v>
      </c>
      <c r="E7" s="8" t="s">
        <v>2</v>
      </c>
      <c r="F7" s="9" t="s">
        <v>27</v>
      </c>
      <c r="G7" s="9" t="s">
        <v>28</v>
      </c>
      <c r="H7" s="9" t="s">
        <v>14</v>
      </c>
      <c r="I7" s="9" t="s">
        <v>15</v>
      </c>
      <c r="J7" s="9" t="s">
        <v>16</v>
      </c>
      <c r="K7" s="8" t="s">
        <v>17</v>
      </c>
      <c r="L7" s="8" t="s">
        <v>18</v>
      </c>
      <c r="M7" s="8" t="s">
        <v>19</v>
      </c>
      <c r="N7" s="8" t="s">
        <v>20</v>
      </c>
      <c r="O7" s="8" t="s">
        <v>21</v>
      </c>
      <c r="P7" s="8" t="s">
        <v>22</v>
      </c>
    </row>
    <row r="8" spans="1:16" ht="21" customHeight="1" x14ac:dyDescent="0.25">
      <c r="E8" s="10" t="s">
        <v>3</v>
      </c>
      <c r="F8" s="9" t="s">
        <v>23</v>
      </c>
      <c r="G8" s="9" t="s">
        <v>24</v>
      </c>
      <c r="H8" s="9">
        <v>1</v>
      </c>
      <c r="I8" s="9" t="s">
        <v>29</v>
      </c>
      <c r="J8" s="9" t="s">
        <v>32</v>
      </c>
      <c r="K8" s="10" t="s">
        <v>36</v>
      </c>
      <c r="L8" s="10" t="s">
        <v>47</v>
      </c>
      <c r="M8" s="10" t="s">
        <v>55</v>
      </c>
      <c r="N8" s="11">
        <v>12345</v>
      </c>
      <c r="O8" s="30">
        <v>5415550100</v>
      </c>
      <c r="P8" s="12" t="s">
        <v>0</v>
      </c>
    </row>
    <row r="9" spans="1:16" ht="21" customHeight="1" x14ac:dyDescent="0.25">
      <c r="E9" s="10" t="s">
        <v>4</v>
      </c>
      <c r="F9" s="9" t="s">
        <v>23</v>
      </c>
      <c r="G9" s="9" t="s">
        <v>25</v>
      </c>
      <c r="H9" s="9">
        <v>3</v>
      </c>
      <c r="I9" s="9" t="s">
        <v>29</v>
      </c>
      <c r="J9" s="9" t="s">
        <v>33</v>
      </c>
      <c r="K9" s="10" t="s">
        <v>37</v>
      </c>
      <c r="L9" s="10" t="s">
        <v>48</v>
      </c>
      <c r="M9" s="10" t="s">
        <v>56</v>
      </c>
      <c r="N9" s="11">
        <v>23456</v>
      </c>
      <c r="O9" s="30">
        <v>5415550101</v>
      </c>
      <c r="P9" s="12" t="s">
        <v>0</v>
      </c>
    </row>
    <row r="10" spans="1:16" ht="21" customHeight="1" x14ac:dyDescent="0.25">
      <c r="A10" s="13">
        <f ca="1">婚礼日期-TODAY()</f>
        <v>283</v>
      </c>
      <c r="E10" s="10" t="s">
        <v>5</v>
      </c>
      <c r="F10" s="9" t="s">
        <v>23</v>
      </c>
      <c r="G10" s="9" t="s">
        <v>23</v>
      </c>
      <c r="H10" s="9">
        <v>1</v>
      </c>
      <c r="I10" s="9" t="s">
        <v>30</v>
      </c>
      <c r="J10" s="9" t="s">
        <v>34</v>
      </c>
      <c r="K10" s="10" t="s">
        <v>38</v>
      </c>
      <c r="L10" s="10" t="s">
        <v>49</v>
      </c>
      <c r="M10" s="10" t="s">
        <v>57</v>
      </c>
      <c r="N10" s="11">
        <v>34567</v>
      </c>
      <c r="O10" s="30">
        <v>5415550102</v>
      </c>
      <c r="P10" s="12" t="s">
        <v>0</v>
      </c>
    </row>
    <row r="11" spans="1:16" ht="21" customHeight="1" x14ac:dyDescent="0.25">
      <c r="E11" s="10" t="s">
        <v>6</v>
      </c>
      <c r="F11" s="9" t="s">
        <v>23</v>
      </c>
      <c r="G11" s="9" t="s">
        <v>25</v>
      </c>
      <c r="H11" s="9">
        <v>2</v>
      </c>
      <c r="I11" s="9" t="s">
        <v>31</v>
      </c>
      <c r="J11" s="9" t="s">
        <v>34</v>
      </c>
      <c r="K11" s="10" t="s">
        <v>39</v>
      </c>
      <c r="L11" s="10" t="s">
        <v>49</v>
      </c>
      <c r="M11" s="10" t="s">
        <v>57</v>
      </c>
      <c r="N11" s="11">
        <v>45678</v>
      </c>
      <c r="O11" s="30">
        <v>5415550103</v>
      </c>
      <c r="P11" s="12" t="s">
        <v>0</v>
      </c>
    </row>
    <row r="12" spans="1:16" ht="21" customHeight="1" x14ac:dyDescent="0.25">
      <c r="E12" s="10" t="s">
        <v>7</v>
      </c>
      <c r="F12" s="9" t="s">
        <v>23</v>
      </c>
      <c r="G12" s="9" t="s">
        <v>23</v>
      </c>
      <c r="H12" s="9">
        <v>2</v>
      </c>
      <c r="I12" s="9" t="s">
        <v>31</v>
      </c>
      <c r="J12" s="9" t="s">
        <v>34</v>
      </c>
      <c r="K12" s="10" t="s">
        <v>40</v>
      </c>
      <c r="L12" s="10" t="s">
        <v>50</v>
      </c>
      <c r="M12" s="10" t="s">
        <v>58</v>
      </c>
      <c r="N12" s="11">
        <v>56789</v>
      </c>
      <c r="O12" s="30">
        <v>5415550104</v>
      </c>
      <c r="P12" s="12" t="s">
        <v>0</v>
      </c>
    </row>
    <row r="13" spans="1:16" ht="21" customHeight="1" x14ac:dyDescent="0.25">
      <c r="E13" s="10" t="s">
        <v>8</v>
      </c>
      <c r="F13" s="9" t="s">
        <v>23</v>
      </c>
      <c r="G13" s="9"/>
      <c r="H13" s="9"/>
      <c r="I13" s="9" t="s">
        <v>30</v>
      </c>
      <c r="J13" s="9" t="s">
        <v>34</v>
      </c>
      <c r="K13" s="10" t="s">
        <v>41</v>
      </c>
      <c r="L13" s="10" t="s">
        <v>51</v>
      </c>
      <c r="M13" s="10" t="s">
        <v>59</v>
      </c>
      <c r="N13" s="11">
        <v>67890</v>
      </c>
      <c r="O13" s="30">
        <v>5415550105</v>
      </c>
      <c r="P13" s="12" t="s">
        <v>0</v>
      </c>
    </row>
    <row r="14" spans="1:16" ht="21" customHeight="1" x14ac:dyDescent="0.25">
      <c r="A14" s="13">
        <f>COUNTIF(邀请人数[回复],"Yes")</f>
        <v>0</v>
      </c>
      <c r="E14" s="10" t="s">
        <v>9</v>
      </c>
      <c r="F14" s="9" t="s">
        <v>23</v>
      </c>
      <c r="G14" s="9" t="s">
        <v>23</v>
      </c>
      <c r="H14" s="9">
        <v>2</v>
      </c>
      <c r="I14" s="9" t="s">
        <v>31</v>
      </c>
      <c r="J14" s="9" t="s">
        <v>34</v>
      </c>
      <c r="K14" s="10" t="s">
        <v>42</v>
      </c>
      <c r="L14" s="10" t="s">
        <v>52</v>
      </c>
      <c r="M14" s="10" t="s">
        <v>55</v>
      </c>
      <c r="N14" s="11">
        <v>78901</v>
      </c>
      <c r="O14" s="30">
        <v>5415550106</v>
      </c>
      <c r="P14" s="12" t="s">
        <v>0</v>
      </c>
    </row>
    <row r="15" spans="1:16" ht="21" customHeight="1" x14ac:dyDescent="0.25">
      <c r="E15" s="10" t="s">
        <v>10</v>
      </c>
      <c r="F15" s="9" t="s">
        <v>23</v>
      </c>
      <c r="G15" s="9" t="s">
        <v>25</v>
      </c>
      <c r="H15" s="9">
        <v>1</v>
      </c>
      <c r="I15" s="9" t="s">
        <v>30</v>
      </c>
      <c r="J15" s="9" t="s">
        <v>34</v>
      </c>
      <c r="K15" s="10" t="s">
        <v>43</v>
      </c>
      <c r="L15" s="10" t="s">
        <v>53</v>
      </c>
      <c r="M15" s="10" t="s">
        <v>55</v>
      </c>
      <c r="N15" s="11">
        <v>89012</v>
      </c>
      <c r="O15" s="30">
        <v>5415550107</v>
      </c>
      <c r="P15" s="12" t="s">
        <v>0</v>
      </c>
    </row>
    <row r="16" spans="1:16" ht="21" customHeight="1" x14ac:dyDescent="0.25">
      <c r="E16" s="10" t="s">
        <v>11</v>
      </c>
      <c r="F16" s="9" t="s">
        <v>23</v>
      </c>
      <c r="G16" s="9" t="s">
        <v>23</v>
      </c>
      <c r="H16" s="9">
        <v>4</v>
      </c>
      <c r="I16" s="9" t="s">
        <v>29</v>
      </c>
      <c r="J16" s="9" t="s">
        <v>34</v>
      </c>
      <c r="K16" s="10" t="s">
        <v>44</v>
      </c>
      <c r="L16" s="10" t="s">
        <v>51</v>
      </c>
      <c r="M16" s="10" t="s">
        <v>59</v>
      </c>
      <c r="N16" s="11">
        <v>54321</v>
      </c>
      <c r="O16" s="30">
        <v>5415550108</v>
      </c>
      <c r="P16" s="12" t="s">
        <v>0</v>
      </c>
    </row>
    <row r="17" spans="1:16" ht="21" customHeight="1" x14ac:dyDescent="0.25">
      <c r="A17" s="13">
        <f>邀请人数[[#Totals],[回复]]-出席总人数</f>
        <v>9</v>
      </c>
      <c r="E17" s="10" t="s">
        <v>12</v>
      </c>
      <c r="F17" s="9" t="s">
        <v>23</v>
      </c>
      <c r="G17" s="9" t="s">
        <v>23</v>
      </c>
      <c r="H17" s="9">
        <v>2</v>
      </c>
      <c r="I17" s="9" t="s">
        <v>29</v>
      </c>
      <c r="J17" s="9" t="s">
        <v>34</v>
      </c>
      <c r="K17" s="10" t="s">
        <v>45</v>
      </c>
      <c r="L17" s="10" t="s">
        <v>54</v>
      </c>
      <c r="M17" s="10" t="s">
        <v>60</v>
      </c>
      <c r="N17" s="11">
        <v>65432</v>
      </c>
      <c r="O17" s="30">
        <v>5415550109</v>
      </c>
      <c r="P17" s="12" t="s">
        <v>0</v>
      </c>
    </row>
    <row r="18" spans="1:16" ht="21" customHeight="1" x14ac:dyDescent="0.25">
      <c r="E18" s="10" t="s">
        <v>13</v>
      </c>
      <c r="F18" s="9" t="s">
        <v>23</v>
      </c>
      <c r="G18" s="9"/>
      <c r="H18" s="9"/>
      <c r="I18" s="9" t="s">
        <v>31</v>
      </c>
      <c r="J18" s="9" t="s">
        <v>32</v>
      </c>
      <c r="K18" s="10" t="s">
        <v>46</v>
      </c>
      <c r="L18" s="10" t="s">
        <v>47</v>
      </c>
      <c r="M18" s="10" t="s">
        <v>55</v>
      </c>
      <c r="N18" s="11">
        <v>76543</v>
      </c>
      <c r="O18" s="30">
        <v>5415550110</v>
      </c>
      <c r="P18" s="12" t="s">
        <v>0</v>
      </c>
    </row>
    <row r="19" spans="1:16" ht="21" customHeight="1" x14ac:dyDescent="0.25">
      <c r="E19" s="14" t="s">
        <v>35</v>
      </c>
      <c r="F19" s="15">
        <f>SUBTOTAL(103,邀请人数[已发送？])</f>
        <v>11</v>
      </c>
      <c r="G19" s="15">
        <f>SUBTOTAL(103,邀请人数[回复])</f>
        <v>9</v>
      </c>
      <c r="H19" s="15">
        <f>SUBTOTAL(109,邀请人数[随行人数])</f>
        <v>18</v>
      </c>
      <c r="I19" s="16"/>
      <c r="J19" s="16"/>
      <c r="K19" s="17"/>
      <c r="L19" s="17"/>
      <c r="M19" s="17"/>
      <c r="N19" s="17"/>
      <c r="O19" s="18"/>
      <c r="P19" s="18"/>
    </row>
    <row r="21" spans="1:16" ht="21" customHeight="1" x14ac:dyDescent="0.25">
      <c r="A21" s="13">
        <f>邀请人数[[#Totals],[已发送？]]-A17-出席总人数</f>
        <v>2</v>
      </c>
    </row>
  </sheetData>
  <phoneticPr fontId="7" type="noConversion"/>
  <conditionalFormatting sqref="F8:I18 N8:P18">
    <cfRule type="expression" dxfId="32" priority="6">
      <formula>($F8="Yes")*($G8="")</formula>
    </cfRule>
  </conditionalFormatting>
  <conditionalFormatting sqref="E8:E18">
    <cfRule type="expression" dxfId="31" priority="5">
      <formula>($F8="Yes")*($G8="")</formula>
    </cfRule>
  </conditionalFormatting>
  <conditionalFormatting sqref="J8:J18">
    <cfRule type="expression" dxfId="30" priority="4">
      <formula>($F8="Yes")*($G8="")</formula>
    </cfRule>
  </conditionalFormatting>
  <conditionalFormatting sqref="K8:K18">
    <cfRule type="expression" dxfId="29" priority="3">
      <formula>($F8="Yes")*($G8="")</formula>
    </cfRule>
  </conditionalFormatting>
  <conditionalFormatting sqref="L8:L18">
    <cfRule type="expression" dxfId="28" priority="2">
      <formula>($F8="Yes")*($G8="")</formula>
    </cfRule>
  </conditionalFormatting>
  <conditionalFormatting sqref="M8:M18">
    <cfRule type="expression" dxfId="27" priority="1">
      <formula>($F8="Yes")*($G8="")</formula>
    </cfRule>
  </conditionalFormatting>
  <dataValidations count="4">
    <dataValidation type="list" errorStyle="warning" allowBlank="1" showInputMessage="1" showErrorMessage="1" errorTitle="Whoops!" error="In order to track invitations correctly, Yes or No needs to be entered. You can click Yes to use what you typed but the tracking counts will be off." sqref="F8:F18">
      <formula1>"是,否"</formula1>
    </dataValidation>
    <dataValidation type="list" errorStyle="warning" allowBlank="1" showInputMessage="1" sqref="I8:I18">
      <formula1>"新娘,新郎, 其他"</formula1>
    </dataValidation>
    <dataValidation type="list" errorStyle="warning" allowBlank="1" showInputMessage="1" showErrorMessage="1" errorTitle="Whoops!" error="In order to track invitations correctly, Yes, No, or Tenative needs to be entered. You can click Yes to use what you typed but the tracking counts will be off." sqref="G9:G18">
      <formula1>"是,否,Tentative"</formula1>
    </dataValidation>
    <dataValidation type="list" errorStyle="warning" allowBlank="1" showInputMessage="1" showErrorMessage="1" errorTitle="Whoops!" error="In order to track invitations correctly, Yes, No, or Tenative needs to be entered. You can click Yes to use what you typed but the tracking counts will be off." sqref="G8">
      <formula1>"是,否,Tentative"</formula1>
    </dataValidation>
  </dataValidations>
  <hyperlinks>
    <hyperlink ref="P8" r:id="rId1"/>
    <hyperlink ref="P9:P18" r:id="rId2" display="someone@example.com"/>
  </hyperlinks>
  <printOptions horizontalCentered="1"/>
  <pageMargins left="0.25" right="0.25" top="1" bottom="0.75" header="0.3" footer="0.3"/>
  <pageSetup fitToHeight="0" orientation="landscape" r:id="rId3"/>
  <headerFooter>
    <oddHeader>&amp;L&amp;36wedding invitation tracker</oddHeader>
  </headerFooter>
  <drawing r:id="rId4"/>
  <picture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autoPageBreaks="0" fitToPage="1"/>
  </sheetPr>
  <dimension ref="A1:Q19"/>
  <sheetViews>
    <sheetView showGridLines="0" zoomScaleNormal="100" workbookViewId="0"/>
  </sheetViews>
  <sheetFormatPr defaultRowHeight="30.75" customHeight="1" x14ac:dyDescent="0.25"/>
  <cols>
    <col min="1" max="1" width="25" style="1" customWidth="1"/>
    <col min="2" max="2" width="1" style="2" customWidth="1"/>
    <col min="3" max="3" width="0.85546875" style="3" customWidth="1"/>
    <col min="4" max="4" width="4.85546875" style="4" customWidth="1"/>
    <col min="5" max="5" width="15.85546875" style="4" customWidth="1"/>
    <col min="6" max="6" width="9.140625" style="4" customWidth="1"/>
    <col min="7" max="13" width="7.140625" style="4" customWidth="1"/>
    <col min="14" max="15" width="2.7109375" style="4" customWidth="1"/>
    <col min="16" max="16" width="40.85546875" style="4" customWidth="1"/>
    <col min="17" max="18" width="2.7109375" style="4" customWidth="1"/>
    <col min="19" max="16384" width="9.140625" style="4"/>
  </cols>
  <sheetData>
    <row r="1" spans="1:17" ht="12" x14ac:dyDescent="0.25"/>
    <row r="2" spans="1:17" ht="12" x14ac:dyDescent="0.25"/>
    <row r="3" spans="1:17" ht="12" x14ac:dyDescent="0.25"/>
    <row r="4" spans="1:17" ht="12" x14ac:dyDescent="0.25">
      <c r="O4" s="19"/>
      <c r="P4" s="19"/>
      <c r="Q4" s="19"/>
    </row>
    <row r="5" spans="1:17" ht="51" customHeight="1" x14ac:dyDescent="0.25">
      <c r="E5" s="6" t="s">
        <v>61</v>
      </c>
      <c r="O5" s="19"/>
      <c r="P5" s="20" t="s">
        <v>62</v>
      </c>
      <c r="Q5" s="19"/>
    </row>
    <row r="6" spans="1:17" ht="12.75" thickBot="1" x14ac:dyDescent="0.3">
      <c r="E6" s="21"/>
      <c r="F6" s="21"/>
      <c r="G6" s="21"/>
      <c r="H6" s="21"/>
      <c r="I6" s="21"/>
      <c r="J6" s="21"/>
      <c r="K6" s="21"/>
      <c r="L6" s="21"/>
      <c r="M6" s="21"/>
      <c r="O6" s="19"/>
      <c r="P6" s="22"/>
      <c r="Q6" s="19"/>
    </row>
    <row r="7" spans="1:17" ht="29.25" thickTop="1" x14ac:dyDescent="0.45">
      <c r="A7" s="29">
        <f ca="1">婚礼日期</f>
        <v>42788</v>
      </c>
      <c r="O7" s="19"/>
      <c r="P7" s="23"/>
      <c r="Q7" s="19"/>
    </row>
    <row r="8" spans="1:17" ht="30.75" customHeight="1" x14ac:dyDescent="0.25">
      <c r="A8" s="7"/>
      <c r="E8" s="31" t="s">
        <v>24</v>
      </c>
      <c r="F8" s="24"/>
      <c r="G8" s="4" t="s">
        <v>63</v>
      </c>
      <c r="H8" s="4">
        <f>SUMPRODUCT((邀请人数[来宾]=G8)*(邀请人数[回复]=$E$8))</f>
        <v>1</v>
      </c>
      <c r="I8" s="4">
        <f>邀请人数[[#Totals],[已发送？]]</f>
        <v>11</v>
      </c>
      <c r="O8" s="19"/>
      <c r="P8" s="25"/>
      <c r="Q8" s="19"/>
    </row>
    <row r="9" spans="1:17" ht="30.75" customHeight="1" x14ac:dyDescent="0.25">
      <c r="E9" s="31"/>
      <c r="F9" s="24"/>
      <c r="G9" s="4" t="s">
        <v>64</v>
      </c>
      <c r="H9" s="4">
        <f>SUMPRODUCT((邀请人数[来宾]=G9)*(邀请人数[回复]=$E$8))</f>
        <v>2</v>
      </c>
      <c r="I9" s="4">
        <f>邀请人数[[#Totals],[已发送？]]</f>
        <v>11</v>
      </c>
      <c r="O9" s="19"/>
      <c r="P9" s="25"/>
      <c r="Q9" s="19"/>
    </row>
    <row r="10" spans="1:17" ht="30.75" customHeight="1" x14ac:dyDescent="0.25">
      <c r="E10" s="31"/>
      <c r="F10" s="24"/>
      <c r="G10" s="4" t="s">
        <v>65</v>
      </c>
      <c r="H10" s="4">
        <f>SUMPRODUCT((邀请人数[来宾]=G10)*(邀请人数[回复]=$E$8))</f>
        <v>3</v>
      </c>
      <c r="I10" s="4">
        <f>邀请人数[[#Totals],[已发送？]]</f>
        <v>11</v>
      </c>
      <c r="O10" s="19"/>
      <c r="P10" s="25"/>
      <c r="Q10" s="19"/>
    </row>
    <row r="11" spans="1:17" ht="30.75" customHeight="1" x14ac:dyDescent="0.25">
      <c r="E11" s="26"/>
      <c r="F11" s="26"/>
      <c r="G11" s="27"/>
      <c r="H11" s="27"/>
      <c r="I11" s="27"/>
      <c r="J11" s="27"/>
      <c r="K11" s="27"/>
      <c r="L11" s="27"/>
      <c r="M11" s="27"/>
      <c r="O11" s="19"/>
      <c r="P11" s="25"/>
      <c r="Q11" s="19"/>
    </row>
    <row r="12" spans="1:17" ht="30.75" customHeight="1" x14ac:dyDescent="0.25">
      <c r="O12" s="19"/>
      <c r="P12" s="25"/>
      <c r="Q12" s="19"/>
    </row>
    <row r="13" spans="1:17" ht="30.75" customHeight="1" x14ac:dyDescent="0.25">
      <c r="E13" s="31" t="s">
        <v>26</v>
      </c>
      <c r="F13" s="24"/>
      <c r="G13" s="4" t="s">
        <v>67</v>
      </c>
      <c r="H13" s="4">
        <f>SUMPRODUCT((邀请人数[来宾]=G13)*(邀请人数[回复]=$E$13))</f>
        <v>1</v>
      </c>
      <c r="I13" s="4">
        <f>邀请人数[[#Totals],[已发送？]]</f>
        <v>11</v>
      </c>
      <c r="O13" s="19"/>
      <c r="P13" s="25"/>
      <c r="Q13" s="19"/>
    </row>
    <row r="14" spans="1:17" ht="30.75" customHeight="1" x14ac:dyDescent="0.25">
      <c r="E14" s="31"/>
      <c r="F14" s="24"/>
      <c r="G14" s="4" t="s">
        <v>64</v>
      </c>
      <c r="H14" s="4">
        <f>SUMPRODUCT((邀请人数[来宾]=G14)*(邀请人数[回复]=$E$13))</f>
        <v>1</v>
      </c>
      <c r="I14" s="4">
        <f>邀请人数[[#Totals],[已发送？]]</f>
        <v>11</v>
      </c>
      <c r="O14" s="19"/>
      <c r="P14" s="25"/>
      <c r="Q14" s="19"/>
    </row>
    <row r="15" spans="1:17" ht="30.75" customHeight="1" x14ac:dyDescent="0.25">
      <c r="E15" s="31"/>
      <c r="F15" s="24"/>
      <c r="G15" s="4" t="s">
        <v>66</v>
      </c>
      <c r="H15" s="4">
        <f>SUMPRODUCT((邀请人数[来宾]=G15)*(邀请人数[回复]=$E$13))</f>
        <v>1</v>
      </c>
      <c r="I15" s="4">
        <f>邀请人数[[#Totals],[已发送？]]</f>
        <v>11</v>
      </c>
      <c r="O15" s="19"/>
      <c r="P15" s="25"/>
      <c r="Q15" s="19"/>
    </row>
    <row r="16" spans="1:17" ht="30.75" customHeight="1" thickBot="1" x14ac:dyDescent="0.3">
      <c r="E16" s="21"/>
      <c r="F16" s="21"/>
      <c r="G16" s="21"/>
      <c r="H16" s="21"/>
      <c r="I16" s="21"/>
      <c r="J16" s="21"/>
      <c r="K16" s="21"/>
      <c r="L16" s="21"/>
      <c r="M16" s="21"/>
      <c r="O16" s="19"/>
      <c r="P16" s="25"/>
      <c r="Q16" s="19"/>
    </row>
    <row r="17" spans="1:17" ht="30.75" customHeight="1" thickTop="1" x14ac:dyDescent="0.25">
      <c r="A17" s="13">
        <f>COUNTIF(邀请人数[回复],"Yes")</f>
        <v>0</v>
      </c>
      <c r="O17" s="19"/>
      <c r="P17" s="25"/>
      <c r="Q17" s="19"/>
    </row>
    <row r="18" spans="1:17" ht="30.75" customHeight="1" x14ac:dyDescent="0.25">
      <c r="A18" s="13">
        <f>邀请人数[[#Totals],[回复]]-出席总人数</f>
        <v>9</v>
      </c>
      <c r="O18" s="19"/>
      <c r="P18" s="25"/>
      <c r="Q18" s="19"/>
    </row>
    <row r="19" spans="1:17" ht="30.75" customHeight="1" x14ac:dyDescent="0.25">
      <c r="A19" s="13">
        <f>邀请人数[[#Totals],[已发送？]]-A18-出席总人数</f>
        <v>2</v>
      </c>
      <c r="O19" s="19"/>
      <c r="P19" s="19"/>
      <c r="Q19" s="19"/>
    </row>
  </sheetData>
  <mergeCells count="2">
    <mergeCell ref="E8:E10"/>
    <mergeCell ref="E13:E15"/>
  </mergeCells>
  <phoneticPr fontId="7" type="noConversion"/>
  <printOptions horizontalCentered="1"/>
  <pageMargins left="0.4" right="0.4" top="0.4" bottom="0.4" header="0.3" footer="0.3"/>
  <pageSetup fitToHeight="0" orientation="landscape" r:id="rId1"/>
  <drawing r:id="rId2"/>
  <picture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56AA8CA0-6A3B-4036-A27D-58D9B7B0A1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回复跟踪器</vt:lpstr>
      <vt:lpstr>回复汇总</vt:lpstr>
      <vt:lpstr>回复跟踪器!Print_Area</vt:lpstr>
      <vt:lpstr>回复汇总!Print_Area</vt:lpstr>
      <vt:lpstr>不出席总人数</vt:lpstr>
      <vt:lpstr>出席总人数</vt:lpstr>
      <vt:lpstr>回复跟踪器!打印区域</vt:lpstr>
      <vt:lpstr>回复汇总!打印区域</vt:lpstr>
      <vt:lpstr>婚礼日期</vt:lpstr>
      <vt:lpstr>剩余天数</vt:lpstr>
      <vt:lpstr>未定_请尽快回复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2016-05-15T07:12:21Z</dcterms:created>
  <dcterms:modified xsi:type="dcterms:W3CDTF">2016-05-15T07:12:21Z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TC031076729991</vt:lpwstr>
  </property>
</Properties>
</file>