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 filterPrivacy="1" codeName="ThisWorkbook" refreshAllConnections="1"/>
  <bookViews>
    <workbookView xWindow="0" yWindow="0" windowWidth="15480" windowHeight="11640"/>
  </bookViews>
  <sheets>
    <sheet name="销售数据" sheetId="1" r:id="rId1"/>
    <sheet name="销售报表" sheetId="3" r:id="rId2"/>
    <sheet name="库存" sheetId="2" r:id="rId3"/>
  </sheets>
  <definedNames>
    <definedName name="PN">tblInventory[SKU/产品编号]</definedName>
    <definedName name="PN_Description">tblInventory[说明]</definedName>
    <definedName name="_xlnm.Print_Area" localSheetId="2">库存!$B:$C</definedName>
    <definedName name="_xlnm.Print_Area" localSheetId="1">销售报表!$B:$G</definedName>
    <definedName name="_xlnm.Print_Area" localSheetId="0">销售数据!$A$1:$G$23</definedName>
    <definedName name="_xlnm.Print_Titles" localSheetId="2">库存!$8:$8</definedName>
    <definedName name="_xlnm.Print_Titles" localSheetId="1">销售报表!$8:$8</definedName>
    <definedName name="_xlnm.Print_Titles" localSheetId="0">销售数据!$8:$8</definedName>
    <definedName name="PT_EndRow">COUNTA(销售报表!$G:$G)+PT_StartRow-3</definedName>
    <definedName name="PT_StartRow">ROW(INDEX(销售报表!$G:$G,MATCH("*",销售报表!$G:$G,0),1))+1</definedName>
  </definedNames>
  <calcPr calcId="171027"/>
  <pivotCaches>
    <pivotCache cacheId="32" r:id="rId4"/>
  </pivotCaches>
</workbook>
</file>

<file path=xl/calcChain.xml><?xml version="1.0" encoding="utf-8"?>
<calcChain xmlns="http://schemas.openxmlformats.org/spreadsheetml/2006/main">
  <c r="F13" i="1" l="1"/>
  <c r="I13" i="1"/>
  <c r="J13" i="1"/>
  <c r="I12" i="1" l="1"/>
  <c r="J12" i="1" s="1"/>
  <c r="F12" i="1"/>
  <c r="I11" i="1"/>
  <c r="J11" i="1" s="1"/>
  <c r="F11" i="1"/>
  <c r="I10" i="1"/>
  <c r="J10" i="1" s="1"/>
  <c r="F10" i="1"/>
  <c r="I9" i="1"/>
  <c r="J9" i="1" s="1"/>
  <c r="F9" i="1"/>
</calcChain>
</file>

<file path=xl/sharedStrings.xml><?xml version="1.0" encoding="utf-8"?>
<sst xmlns="http://schemas.openxmlformats.org/spreadsheetml/2006/main" count="51" uniqueCount="38">
  <si>
    <t xml:space="preserve"> </t>
  </si>
  <si>
    <t>毯子</t>
  </si>
  <si>
    <t>枕头</t>
  </si>
  <si>
    <t>被单</t>
  </si>
  <si>
    <t>方形盘</t>
  </si>
  <si>
    <t>圆形盘</t>
  </si>
  <si>
    <t>大碗</t>
  </si>
  <si>
    <t>小碗</t>
  </si>
  <si>
    <t>小圆盘</t>
  </si>
  <si>
    <t>小叉子</t>
  </si>
  <si>
    <t>大叉子</t>
  </si>
  <si>
    <t>小勺子</t>
  </si>
  <si>
    <t>大勺子</t>
  </si>
  <si>
    <t>小黄油刀</t>
  </si>
  <si>
    <t>大黄油刀</t>
  </si>
  <si>
    <t>桌布 (10x5)</t>
  </si>
  <si>
    <t>桌布 (8x5)</t>
  </si>
  <si>
    <t>桌布 (8x8)</t>
  </si>
  <si>
    <t>桌布 (6x6)</t>
  </si>
  <si>
    <t>桌布 (6x4)</t>
  </si>
  <si>
    <t>桌布 (4x4)</t>
  </si>
  <si>
    <t>桌布（10 英寸圆形）</t>
  </si>
  <si>
    <t>桌布（8 英寸圆形）</t>
  </si>
  <si>
    <t>桌布（6 英寸圆形）</t>
  </si>
  <si>
    <t>SKU/产品编号</t>
  </si>
  <si>
    <t>说明</t>
  </si>
  <si>
    <t>收银机日常销售</t>
  </si>
  <si>
    <t>日期</t>
  </si>
  <si>
    <t>时间</t>
  </si>
  <si>
    <t>交易号</t>
  </si>
  <si>
    <t>销售额</t>
  </si>
  <si>
    <t>税率</t>
  </si>
  <si>
    <t>营业税</t>
  </si>
  <si>
    <t>总计</t>
  </si>
  <si>
    <t xml:space="preserve"> 销售额</t>
  </si>
  <si>
    <t>营业税 </t>
  </si>
  <si>
    <t>总计 </t>
  </si>
  <si>
    <t xml:space="preserve">总计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</si>
</sst>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.00_);[Red]\!\!\!\(&quot;¥&quot;#,##0.00\!\!\!\)"/>
    <numFmt numFmtId="177" formatCode="h:mm;@"/>
  </numFmts>
  <fonts count="9" x14ac:knownFonts="1">
    <font>
      <sz val="10"/>
      <color theme="1" tint="0.24994659260841701"/>
      <name val="Trebuchet MS"/>
      <family val="2"/>
      <scheme val="minor"/>
    </font>
    <font>
      <b/>
      <sz val="28"/>
      <color theme="6"/>
      <name val="Trebuchet MS"/>
      <family val="2"/>
      <scheme val="minor"/>
    </font>
    <font>
      <sz val="9"/>
      <name val="Trebuchet MS"/>
      <family val="3"/>
      <charset val="134"/>
      <scheme val="minor"/>
    </font>
    <font>
      <sz val="10"/>
      <color theme="1" tint="0.24994659260841701"/>
      <name val="Microsoft YaHei UI"/>
      <family val="2"/>
      <charset val="134"/>
    </font>
    <font>
      <b/>
      <sz val="28"/>
      <color theme="6"/>
      <name val="Microsoft YaHei UI"/>
      <family val="2"/>
      <charset val="134"/>
    </font>
    <font>
      <sz val="10"/>
      <color theme="6"/>
      <name val="Microsoft YaHei UI"/>
      <family val="2"/>
      <charset val="134"/>
    </font>
    <font>
      <b/>
      <sz val="10"/>
      <color theme="6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name val="Microsoft YaHei U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EAEA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 tint="-0.249977111117893"/>
      </top>
      <bottom/>
      <diagonal/>
    </border>
  </borders>
  <cellStyleXfs count="3">
    <xf numFmtId="0" fontId="0" fillId="3" borderId="0">
      <alignment vertical="center"/>
    </xf>
    <xf numFmtId="0" fontId="1" fillId="3" borderId="0" applyNumberFormat="0" applyProtection="0">
      <alignment vertical="center"/>
    </xf>
    <xf numFmtId="0" fontId="3" fillId="0" borderId="0" applyNumberFormat="0" applyFont="0" applyFill="0" applyAlignment="0">
      <alignment vertical="center"/>
    </xf>
  </cellStyleXfs>
  <cellXfs count="61">
    <xf numFmtId="0" fontId="0" fillId="3" borderId="0" xfId="0">
      <alignment vertical="center"/>
    </xf>
    <xf numFmtId="0" fontId="3" fillId="3" borderId="0" xfId="0" applyFont="1" applyFill="1">
      <alignment vertical="center"/>
    </xf>
    <xf numFmtId="0" fontId="3" fillId="3" borderId="0" xfId="0" applyFont="1">
      <alignment vertical="center"/>
    </xf>
    <xf numFmtId="0" fontId="4" fillId="3" borderId="0" xfId="1" applyFont="1" applyFill="1">
      <alignment vertical="center"/>
    </xf>
    <xf numFmtId="0" fontId="3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>
      <alignment vertical="center"/>
    </xf>
    <xf numFmtId="0" fontId="5" fillId="0" borderId="0" xfId="0" applyNumberFormat="1" applyFont="1" applyFill="1" applyBorder="1" applyAlignment="1">
      <alignment horizontal="left" vertical="center" wrapText="1" indent="2"/>
    </xf>
    <xf numFmtId="0" fontId="5" fillId="0" borderId="0" xfId="0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horizontal="left" vertical="center" indent="2"/>
    </xf>
    <xf numFmtId="0" fontId="3" fillId="0" borderId="0" xfId="0" applyFont="1" applyFill="1" applyBorder="1">
      <alignment vertical="center"/>
    </xf>
    <xf numFmtId="0" fontId="3" fillId="0" borderId="0" xfId="0" applyNumberFormat="1" applyFont="1" applyFill="1" applyAlignment="1">
      <alignment horizontal="left" vertical="center"/>
    </xf>
    <xf numFmtId="0" fontId="3" fillId="0" borderId="0" xfId="0" applyFont="1" applyFill="1">
      <alignment vertical="center"/>
    </xf>
    <xf numFmtId="0" fontId="3" fillId="3" borderId="0" xfId="0" applyFont="1" applyBorder="1">
      <alignment vertical="center"/>
    </xf>
    <xf numFmtId="0" fontId="3" fillId="3" borderId="0" xfId="0" applyFont="1" applyAlignment="1">
      <alignment vertical="center"/>
    </xf>
    <xf numFmtId="0" fontId="4" fillId="3" borderId="0" xfId="1" applyFont="1" applyBorder="1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vertical="center"/>
    </xf>
    <xf numFmtId="176" fontId="3" fillId="4" borderId="0" xfId="0" applyNumberFormat="1" applyFont="1" applyFill="1" applyBorder="1" applyAlignment="1">
      <alignment horizontal="right" vertical="center" indent="2"/>
    </xf>
    <xf numFmtId="0" fontId="3" fillId="0" borderId="0" xfId="0" applyFont="1" applyFill="1" applyAlignment="1">
      <alignment vertical="center"/>
    </xf>
    <xf numFmtId="0" fontId="5" fillId="3" borderId="0" xfId="0" applyFont="1" applyFill="1" applyBorder="1" applyAlignment="1">
      <alignment horizontal="left" vertical="center" wrapText="1" indent="1"/>
    </xf>
    <xf numFmtId="0" fontId="5" fillId="3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horizontal="right" vertical="center" indent="2"/>
    </xf>
    <xf numFmtId="0" fontId="3" fillId="3" borderId="0" xfId="0" applyFont="1" applyFill="1" applyAlignment="1">
      <alignment horizontal="left" vertical="center" indent="6"/>
    </xf>
    <xf numFmtId="0" fontId="3" fillId="3" borderId="0" xfId="0" applyFont="1" applyFill="1" applyAlignment="1">
      <alignment vertical="center"/>
    </xf>
    <xf numFmtId="0" fontId="4" fillId="3" borderId="0" xfId="1" applyFont="1" applyFill="1" applyAlignment="1">
      <alignment horizontal="left" vertical="center"/>
    </xf>
    <xf numFmtId="0" fontId="3" fillId="3" borderId="0" xfId="0" applyFont="1" applyFill="1" applyBorder="1" applyAlignment="1">
      <alignment horizontal="left" vertical="center" indent="6"/>
    </xf>
    <xf numFmtId="0" fontId="3" fillId="2" borderId="0" xfId="0" applyFont="1" applyFill="1" applyAlignment="1">
      <alignment horizontal="left" vertical="center" indent="6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 indent="6"/>
    </xf>
    <xf numFmtId="14" fontId="3" fillId="0" borderId="0" xfId="0" applyNumberFormat="1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176" fontId="3" fillId="0" borderId="0" xfId="0" applyNumberFormat="1" applyFont="1" applyFill="1" applyBorder="1" applyAlignment="1">
      <alignment horizontal="right" vertical="center" indent="2"/>
    </xf>
    <xf numFmtId="10" fontId="3" fillId="0" borderId="0" xfId="0" applyNumberFormat="1" applyFont="1" applyFill="1" applyBorder="1" applyAlignment="1">
      <alignment horizontal="right" vertical="center" indent="2"/>
    </xf>
    <xf numFmtId="0" fontId="3" fillId="0" borderId="0" xfId="0" applyNumberFormat="1" applyFont="1" applyFill="1" applyBorder="1" applyAlignment="1">
      <alignment horizontal="left" vertical="center"/>
    </xf>
    <xf numFmtId="176" fontId="6" fillId="4" borderId="0" xfId="0" applyNumberFormat="1" applyFont="1" applyFill="1" applyBorder="1" applyAlignment="1">
      <alignment horizontal="right" vertical="center" indent="2"/>
    </xf>
    <xf numFmtId="14" fontId="3" fillId="0" borderId="1" xfId="0" applyNumberFormat="1" applyFont="1" applyFill="1" applyBorder="1" applyAlignment="1">
      <alignment horizontal="left" vertical="center" indent="1"/>
    </xf>
    <xf numFmtId="177" fontId="3" fillId="0" borderId="1" xfId="0" applyNumberFormat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left" vertical="center"/>
    </xf>
    <xf numFmtId="176" fontId="3" fillId="0" borderId="1" xfId="0" applyNumberFormat="1" applyFont="1" applyFill="1" applyBorder="1" applyAlignment="1">
      <alignment horizontal="right" vertical="center" indent="2"/>
    </xf>
    <xf numFmtId="10" fontId="3" fillId="0" borderId="1" xfId="0" applyNumberFormat="1" applyFont="1" applyFill="1" applyBorder="1" applyAlignment="1">
      <alignment horizontal="right" vertical="center" indent="2"/>
    </xf>
    <xf numFmtId="176" fontId="3" fillId="4" borderId="1" xfId="0" applyNumberFormat="1" applyFont="1" applyFill="1" applyBorder="1" applyAlignment="1">
      <alignment horizontal="right" vertical="center" indent="2"/>
    </xf>
    <xf numFmtId="176" fontId="6" fillId="4" borderId="1" xfId="0" applyNumberFormat="1" applyFont="1" applyFill="1" applyBorder="1" applyAlignment="1">
      <alignment horizontal="right" vertical="center" indent="2"/>
    </xf>
    <xf numFmtId="0" fontId="3" fillId="2" borderId="2" xfId="0" applyFont="1" applyFill="1" applyBorder="1">
      <alignment vertical="center"/>
    </xf>
    <xf numFmtId="0" fontId="3" fillId="0" borderId="1" xfId="0" applyNumberFormat="1" applyFont="1" applyFill="1" applyBorder="1" applyAlignment="1">
      <alignment horizontal="left" vertical="center" indent="2"/>
    </xf>
    <xf numFmtId="0" fontId="3" fillId="0" borderId="1" xfId="0" applyFont="1" applyFill="1" applyBorder="1">
      <alignment vertical="center"/>
    </xf>
    <xf numFmtId="0" fontId="3" fillId="3" borderId="0" xfId="0" pivotButton="1" applyFont="1" applyAlignment="1">
      <alignment horizontal="left" vertical="center"/>
    </xf>
    <xf numFmtId="0" fontId="0" fillId="2" borderId="0" xfId="0" applyFill="1">
      <alignment vertical="center"/>
    </xf>
    <xf numFmtId="0" fontId="8" fillId="3" borderId="3" xfId="0" applyFont="1" applyBorder="1" applyAlignment="1">
      <alignment horizontal="left" vertical="center"/>
    </xf>
    <xf numFmtId="49" fontId="8" fillId="3" borderId="3" xfId="0" applyNumberFormat="1" applyFont="1" applyBorder="1" applyAlignment="1">
      <alignment horizontal="left" vertical="center"/>
    </xf>
    <xf numFmtId="0" fontId="7" fillId="3" borderId="0" xfId="0" applyFont="1" applyAlignment="1">
      <alignment horizontal="left" vertical="center"/>
    </xf>
    <xf numFmtId="14" fontId="7" fillId="2" borderId="0" xfId="0" applyNumberFormat="1" applyFont="1" applyFill="1" applyAlignment="1">
      <alignment horizontal="left" vertical="center"/>
    </xf>
    <xf numFmtId="49" fontId="7" fillId="2" borderId="0" xfId="0" applyNumberFormat="1" applyFont="1" applyFill="1" applyAlignment="1">
      <alignment horizontal="left" vertical="center"/>
    </xf>
    <xf numFmtId="0" fontId="5" fillId="3" borderId="0" xfId="0" applyFont="1" applyAlignment="1">
      <alignment horizontal="right" vertical="center"/>
    </xf>
    <xf numFmtId="176" fontId="7" fillId="2" borderId="0" xfId="0" applyNumberFormat="1" applyFont="1" applyFill="1" applyAlignment="1">
      <alignment horizontal="right" vertical="center"/>
    </xf>
    <xf numFmtId="176" fontId="3" fillId="3" borderId="0" xfId="0" applyNumberFormat="1" applyFont="1" applyAlignment="1">
      <alignment horizontal="right" vertical="center"/>
    </xf>
    <xf numFmtId="176" fontId="7" fillId="3" borderId="3" xfId="0" applyNumberFormat="1" applyFont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3" fillId="0" borderId="0" xfId="0" applyFont="1" applyFill="1" applyAlignment="1">
      <alignment horizontal="right" vertical="center"/>
    </xf>
  </cellXfs>
  <cellStyles count="3">
    <cellStyle name="标题 1" xfId="1" builtinId="16" customBuiltin="1"/>
    <cellStyle name="常规" xfId="0" builtinId="0" customBuiltin="1"/>
    <cellStyle name="样式 1" xfId="2"/>
  </cellStyles>
  <dxfs count="83"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bgColor auto="1"/>
        </patternFill>
      </fill>
      <alignment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6"/>
        <name val="Microsoft YaHei UI"/>
        <scheme val="none"/>
      </font>
    </dxf>
    <dxf>
      <alignment horizontal="right" readingOrder="0"/>
    </dxf>
    <dxf>
      <border>
        <top style="thin">
          <color theme="0" tint="-0.249977111117893"/>
        </top>
      </border>
    </dxf>
    <dxf>
      <border>
        <top style="thin">
          <color theme="0" tint="-0.249977111117893"/>
        </top>
      </border>
    </dxf>
    <dxf>
      <font>
        <color theme="6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right/>
        <top/>
        <bottom/>
      </border>
    </dxf>
    <dxf>
      <border>
        <right/>
        <top/>
        <bottom/>
      </border>
    </dxf>
    <dxf>
      <alignment horizontal="right" readingOrder="0"/>
    </dxf>
    <dxf>
      <font>
        <color auto="1"/>
      </font>
    </dxf>
    <dxf>
      <font>
        <color auto="1"/>
      </font>
    </dxf>
    <dxf>
      <font>
        <b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border>
        <bottom style="thin">
          <color theme="0"/>
        </bottom>
      </border>
    </dxf>
    <dxf>
      <border>
        <top style="thin">
          <color theme="0" tint="-0.499984740745262"/>
        </top>
      </border>
    </dxf>
    <dxf>
      <border>
        <top/>
        <bottom/>
      </border>
    </dxf>
    <dxf>
      <border>
        <left style="thin">
          <color theme="1" tint="0.499984740745262"/>
        </left>
        <right style="thin">
          <color theme="1" tint="0.499984740745262"/>
        </right>
        <bottom style="thin">
          <color theme="1" tint="0.499984740745262"/>
        </bottom>
      </border>
    </dxf>
    <dxf>
      <font>
        <name val="Microsoft YaHei UI"/>
        <scheme val="none"/>
      </font>
    </dxf>
    <dxf>
      <font>
        <name val="Microsoft YaHei UI"/>
        <scheme val="none"/>
      </font>
    </dxf>
    <dxf>
      <font>
        <name val="Microsoft YaHei UI"/>
        <scheme val="none"/>
      </font>
    </dxf>
    <dxf>
      <numFmt numFmtId="176" formatCode="&quot;¥&quot;#,##0.00_);[Red]\!\!\!\(&quot;¥&quot;#,##0.00\!\!\!\)"/>
    </dxf>
    <dxf>
      <alignment horizontal="left" readingOrder="0"/>
    </dxf>
    <dxf>
      <alignment horizontal="left" readingOrder="0"/>
    </dxf>
    <dxf>
      <font>
        <b/>
        <strike val="0"/>
        <outline val="0"/>
        <shadow val="0"/>
        <u val="none"/>
        <vertAlign val="baseline"/>
        <sz val="10"/>
        <color theme="6"/>
        <name val="Microsoft YaHei UI"/>
        <scheme val="none"/>
      </font>
      <numFmt numFmtId="176" formatCode="&quot;¥&quot;#,##0.00_);[Red]\!\!\!\(&quot;¥&quot;#,##0.00\!\!\!\)"/>
      <fill>
        <patternFill patternType="solid">
          <fgColor indexed="64"/>
          <bgColor rgb="FFEAEAEA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_);[Red]\!\!\!\(&quot;¥&quot;#,##0.00\!\!\!\)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numFmt numFmtId="176" formatCode="&quot;¥&quot;#,##0.00_);[Red]\!\!\!\(&quot;¥&quot;#,##0.00\!\!\!\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Microsoft YaHei UI"/>
        <scheme val="none"/>
      </font>
      <numFmt numFmtId="177" formatCode="h:mm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strike val="0"/>
        <outline val="0"/>
        <shadow val="0"/>
        <u val="none"/>
        <vertAlign val="baseline"/>
        <name val="Microsoft YaHei U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/>
        <name val="Microsoft YaHei UI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2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theme="0"/>
        </patternFill>
      </fill>
    </dxf>
    <dxf>
      <font>
        <b/>
        <i val="0"/>
        <color theme="1" tint="0.24994659260841701"/>
      </font>
      <fill>
        <patternFill patternType="solid">
          <fgColor theme="4" tint="0.79992065187536243"/>
          <bgColor theme="0"/>
        </patternFill>
      </fill>
      <border diagonalUp="0" diagonalDown="0">
        <left/>
        <right/>
        <top style="medium">
          <color theme="3" tint="0.39988402966399123"/>
        </top>
        <bottom/>
        <vertical/>
        <horizontal/>
      </border>
    </dxf>
    <dxf>
      <font>
        <b val="0"/>
        <i val="0"/>
        <color theme="5"/>
      </font>
      <fill>
        <patternFill patternType="solid">
          <fgColor theme="4" tint="0.79995117038483843"/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ill>
        <patternFill>
          <bgColor theme="0"/>
        </patternFill>
      </fill>
      <border>
        <horizontal style="thin">
          <color theme="0" tint="-4.9989318521683403E-2"/>
        </horizontal>
      </border>
    </dxf>
    <dxf>
      <font>
        <b/>
        <i val="0"/>
        <color theme="6"/>
      </font>
      <fill>
        <patternFill patternType="solid">
          <bgColor rgb="FFEAEAEA"/>
        </patternFill>
      </fill>
      <border>
        <vertical/>
        <horizontal style="thin">
          <color theme="0" tint="-4.9989318521683403E-2"/>
        </horizontal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 style="double">
          <color theme="1" tint="0.24994659260841701"/>
        </top>
        <bottom/>
        <vertical/>
        <horizontal/>
      </border>
    </dxf>
    <dxf>
      <font>
        <b val="0"/>
        <i val="0"/>
        <color theme="6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/>
      </border>
    </dxf>
    <dxf>
      <font>
        <b val="0"/>
        <i val="0"/>
        <color theme="1" tint="0.24994659260841701"/>
      </font>
      <fill>
        <patternFill patternType="solid">
          <bgColor theme="0"/>
        </patternFill>
      </fill>
      <border diagonalUp="0" diagonalDown="0">
        <left/>
        <right/>
        <top/>
        <bottom style="medium">
          <color theme="3" tint="0.39994506668294322"/>
        </bottom>
        <vertical/>
        <horizontal style="thin">
          <color theme="0" tint="-4.9989318521683403E-2"/>
        </horizontal>
      </border>
    </dxf>
  </dxfs>
  <tableStyles count="2" defaultTableStyle="Cash Register Sales" defaultPivotStyle="Sales Report">
    <tableStyle name="Cash Register Sales" pivot="0" count="3">
      <tableStyleElement type="headerRow" dxfId="82"/>
      <tableStyleElement type="totalRow" dxfId="81"/>
      <tableStyleElement type="lastColumn" dxfId="80"/>
    </tableStyle>
    <tableStyle name="Sales Report" table="0" count="8">
      <tableStyleElement type="wholeTable" dxfId="79"/>
      <tableStyleElement type="headerRow" dxfId="78"/>
      <tableStyleElement type="totalRow" dxfId="77"/>
      <tableStyleElement type="firstColumnSubheading" dxfId="76"/>
      <tableStyleElement type="secondColumnSubheading" dxfId="75"/>
      <tableStyleElement type="firstRowSubheading" dxfId="74"/>
      <tableStyleElement type="secondRowSubheading" dxfId="73"/>
      <tableStyleElement type="thirdRowSubheading" dxfId="72"/>
    </tableStyle>
  </tableStyles>
  <colors>
    <mruColors>
      <color rgb="FFEAEAEA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24211;&#23384;!A1"/><Relationship Id="rId1" Type="http://schemas.openxmlformats.org/officeDocument/2006/relationships/hyperlink" Target="#&#38144;&#21806;&#25253;&#34920;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4211;&#23384;!A1"/><Relationship Id="rId1" Type="http://schemas.openxmlformats.org/officeDocument/2006/relationships/hyperlink" Target="#&#38144;&#21806;&#25968;&#25454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38144;&#21806;&#25968;&#25454;!A1"/><Relationship Id="rId1" Type="http://schemas.openxmlformats.org/officeDocument/2006/relationships/hyperlink" Target="#&#38144;&#21806;&#25253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455845</xdr:colOff>
      <xdr:row>2</xdr:row>
      <xdr:rowOff>204037</xdr:rowOff>
    </xdr:from>
    <xdr:to>
      <xdr:col>3</xdr:col>
      <xdr:colOff>941620</xdr:colOff>
      <xdr:row>5</xdr:row>
      <xdr:rowOff>599</xdr:rowOff>
    </xdr:to>
    <xdr:sp macro="" textlink="">
      <xdr:nvSpPr>
        <xdr:cNvPr id="8" name="销售报表">
          <a:hlinkClick xmlns:r="http://schemas.openxmlformats.org/officeDocument/2006/relationships" r:id="rId1" tooltip="单击查看销售报表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51295" y="851737"/>
          <a:ext cx="1466850" cy="4728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销售报表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3</xdr:col>
      <xdr:colOff>991627</xdr:colOff>
      <xdr:row>2</xdr:row>
      <xdr:rowOff>204037</xdr:rowOff>
    </xdr:from>
    <xdr:to>
      <xdr:col>4</xdr:col>
      <xdr:colOff>924951</xdr:colOff>
      <xdr:row>5</xdr:row>
      <xdr:rowOff>599</xdr:rowOff>
    </xdr:to>
    <xdr:sp macro="" textlink="">
      <xdr:nvSpPr>
        <xdr:cNvPr id="13" name="库存">
          <a:hlinkClick xmlns:r="http://schemas.openxmlformats.org/officeDocument/2006/relationships" r:id="rId2" tooltip="击查看库存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668152" y="851737"/>
          <a:ext cx="1466849" cy="472837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库存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713</xdr:colOff>
      <xdr:row>2</xdr:row>
      <xdr:rowOff>214488</xdr:rowOff>
    </xdr:from>
    <xdr:to>
      <xdr:col>2</xdr:col>
      <xdr:colOff>390645</xdr:colOff>
      <xdr:row>5</xdr:row>
      <xdr:rowOff>12453</xdr:rowOff>
    </xdr:to>
    <xdr:grpSp>
      <xdr:nvGrpSpPr>
        <xdr:cNvPr id="2" name="销售数据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19788" y="938388"/>
          <a:ext cx="1466257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400" b="1">
                <a:solidFill>
                  <a:schemeClr val="accent3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销售数据</a:t>
            </a:r>
            <a:endParaRPr lang="en-US" sz="1400" b="1">
              <a:solidFill>
                <a:schemeClr val="accent3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24" name="直线连接线 23" descr="直线" title="直线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3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1</xdr:row>
      <xdr:rowOff>9525</xdr:rowOff>
    </xdr:from>
    <xdr:to>
      <xdr:col>7</xdr:col>
      <xdr:colOff>0</xdr:colOff>
      <xdr:row>4</xdr:row>
      <xdr:rowOff>0</xdr:rowOff>
    </xdr:to>
    <xdr:sp macro="" textlink="">
      <xdr:nvSpPr>
        <xdr:cNvPr id="9" name="模板提示" descr="要更新“销售报表”，请右键单击下面的“数据透视表”，然后单击“刷新”。" title="提示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524625" y="200025"/>
          <a:ext cx="1571625" cy="866775"/>
        </a:xfrm>
        <a:prstGeom prst="wedgeRectCallout">
          <a:avLst>
            <a:gd name="adj1" fmla="val -20833"/>
            <a:gd name="adj2" fmla="val 67763"/>
          </a:avLst>
        </a:prstGeom>
        <a:solidFill>
          <a:schemeClr val="bg1"/>
        </a:solidFill>
        <a:ln w="127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90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提示：要更新“销售报表”，请右键单击下面的“数据透视表”，然后单击</a:t>
          </a:r>
          <a:r>
            <a:rPr lang="zh-CN" altLang="en-US" sz="900" b="1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“刷新”</a:t>
          </a:r>
          <a:r>
            <a:rPr lang="zh-CN" altLang="en-US" sz="90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。</a:t>
          </a:r>
        </a:p>
      </xdr:txBody>
    </xdr:sp>
    <xdr:clientData fPrintsWithSheet="0"/>
  </xdr:twoCellAnchor>
  <xdr:twoCellAnchor>
    <xdr:from>
      <xdr:col>0</xdr:col>
      <xdr:colOff>217007</xdr:colOff>
      <xdr:row>2</xdr:row>
      <xdr:rowOff>190500</xdr:rowOff>
    </xdr:from>
    <xdr:to>
      <xdr:col>1</xdr:col>
      <xdr:colOff>1464782</xdr:colOff>
      <xdr:row>4</xdr:row>
      <xdr:rowOff>206137</xdr:rowOff>
    </xdr:to>
    <xdr:sp macro="" textlink="">
      <xdr:nvSpPr>
        <xdr:cNvPr id="8" name="销售数据">
          <a:hlinkClick xmlns:r="http://schemas.openxmlformats.org/officeDocument/2006/relationships" r:id="rId1" tooltip="单击查看销售数据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17007" y="838200"/>
          <a:ext cx="1466850" cy="434737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销售数据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2</xdr:col>
      <xdr:colOff>1124264</xdr:colOff>
      <xdr:row>2</xdr:row>
      <xdr:rowOff>190500</xdr:rowOff>
    </xdr:from>
    <xdr:to>
      <xdr:col>3</xdr:col>
      <xdr:colOff>257488</xdr:colOff>
      <xdr:row>4</xdr:row>
      <xdr:rowOff>206137</xdr:rowOff>
    </xdr:to>
    <xdr:sp macro="" textlink="">
      <xdr:nvSpPr>
        <xdr:cNvPr id="10" name="库存">
          <a:hlinkClick xmlns:r="http://schemas.openxmlformats.org/officeDocument/2006/relationships" r:id="rId2" tooltip="单击查看库存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257864" y="838200"/>
          <a:ext cx="1466849" cy="434737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库存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1524000</xdr:colOff>
      <xdr:row>2</xdr:row>
      <xdr:rowOff>200951</xdr:rowOff>
    </xdr:from>
    <xdr:to>
      <xdr:col>2</xdr:col>
      <xdr:colOff>1075732</xdr:colOff>
      <xdr:row>4</xdr:row>
      <xdr:rowOff>217991</xdr:rowOff>
    </xdr:to>
    <xdr:grpSp>
      <xdr:nvGrpSpPr>
        <xdr:cNvPr id="11" name="销售报表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743075" y="829601"/>
          <a:ext cx="1466257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2" name="矩形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400" b="1">
                <a:solidFill>
                  <a:schemeClr val="accent2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销售报表</a:t>
            </a:r>
            <a:endParaRPr lang="en-US" sz="1400" b="1">
              <a:solidFill>
                <a:schemeClr val="accent2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13" name="直线连接线 12" descr="直线" title="直线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2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1521932</xdr:colOff>
      <xdr:row>2</xdr:row>
      <xdr:rowOff>200025</xdr:rowOff>
    </xdr:from>
    <xdr:to>
      <xdr:col>2</xdr:col>
      <xdr:colOff>864707</xdr:colOff>
      <xdr:row>4</xdr:row>
      <xdr:rowOff>215662</xdr:rowOff>
    </xdr:to>
    <xdr:sp macro="" textlink="">
      <xdr:nvSpPr>
        <xdr:cNvPr id="11" name="销售报表">
          <a:hlinkClick xmlns:r="http://schemas.openxmlformats.org/officeDocument/2006/relationships" r:id="rId1" tooltip="单击查看销售报表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741007" y="847725"/>
          <a:ext cx="1466850" cy="43473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销售报表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314</xdr:colOff>
      <xdr:row>2</xdr:row>
      <xdr:rowOff>200025</xdr:rowOff>
    </xdr:from>
    <xdr:to>
      <xdr:col>1</xdr:col>
      <xdr:colOff>1467163</xdr:colOff>
      <xdr:row>4</xdr:row>
      <xdr:rowOff>215662</xdr:rowOff>
    </xdr:to>
    <xdr:sp macro="" textlink="">
      <xdr:nvSpPr>
        <xdr:cNvPr id="14" name="库存">
          <a:hlinkClick xmlns:r="http://schemas.openxmlformats.org/officeDocument/2006/relationships" r:id="rId2" tooltip="单击查看销售数据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19389" y="847725"/>
          <a:ext cx="1466849" cy="434737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 b="1">
              <a:solidFill>
                <a:schemeClr val="bg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销售数据</a:t>
          </a:r>
          <a:endParaRPr lang="en-US" sz="1400" b="1">
            <a:solidFill>
              <a:schemeClr val="bg1"/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2</xdr:col>
      <xdr:colOff>914400</xdr:colOff>
      <xdr:row>2</xdr:row>
      <xdr:rowOff>210476</xdr:rowOff>
    </xdr:from>
    <xdr:to>
      <xdr:col>2</xdr:col>
      <xdr:colOff>2380657</xdr:colOff>
      <xdr:row>5</xdr:row>
      <xdr:rowOff>8441</xdr:rowOff>
    </xdr:to>
    <xdr:grpSp>
      <xdr:nvGrpSpPr>
        <xdr:cNvPr id="17" name="组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3257550" y="839126"/>
          <a:ext cx="1466257" cy="436140"/>
          <a:chOff x="219786" y="862187"/>
          <a:chExt cx="1466258" cy="436810"/>
        </a:xfrm>
        <a:effectLst>
          <a:outerShdw blurRad="50800" dist="25400" dir="17400000" rotWithShape="0">
            <a:schemeClr val="bg1">
              <a:lumMod val="65000"/>
              <a:alpha val="40000"/>
            </a:schemeClr>
          </a:outerShdw>
        </a:effectLst>
      </xdr:grpSpPr>
      <xdr:sp macro="" textlink="">
        <xdr:nvSpPr>
          <xdr:cNvPr id="18" name="矩形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222404" y="862187"/>
            <a:ext cx="1463640" cy="43681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>
              <a:schemeClr val="accent1">
                <a:alpha val="40000"/>
              </a:schemeClr>
            </a:glow>
            <a:softEdge rad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400" b="1">
                <a:solidFill>
                  <a:schemeClr val="accent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库存</a:t>
            </a:r>
            <a:endParaRPr lang="en-US" sz="1400" b="1">
              <a:solidFill>
                <a:schemeClr val="accent1"/>
              </a:solidFill>
              <a:latin typeface="Microsoft YaHei UI" panose="020B0503020204020204" pitchFamily="34" charset="-122"/>
              <a:ea typeface="Microsoft YaHei UI" panose="020B0503020204020204" pitchFamily="34" charset="-122"/>
            </a:endParaRPr>
          </a:p>
        </xdr:txBody>
      </xdr:sp>
      <xdr:cxnSp macro="">
        <xdr:nvCxnSpPr>
          <xdr:cNvPr id="19" name="直线连接线 18" descr="直线" title="直线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219786" y="862187"/>
            <a:ext cx="1463640" cy="2636"/>
          </a:xfrm>
          <a:prstGeom prst="line">
            <a:avLst/>
          </a:prstGeom>
          <a:solidFill>
            <a:schemeClr val="bg1"/>
          </a:solidFill>
          <a:ln w="28575">
            <a:solidFill>
              <a:schemeClr val="accent1"/>
            </a:solidFill>
          </a:ln>
          <a:effectLst/>
          <a:scene3d>
            <a:camera prst="orthographicFront">
              <a:rot lat="0" lon="0" rev="0"/>
            </a:camera>
            <a:lightRig rig="threePt" dir="t"/>
          </a:scene3d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20120823_AllHOAug\04_Template\2052_CHS\O15%20Excel\Templates\Update\Daily%20cash%20register%20sales_TP103107640.xlt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1198.666588310189" createdVersion="5" refreshedVersion="5" minRefreshableVersion="3" recordCount="5">
  <cacheSource type="worksheet">
    <worksheetSource name="tblSalesData" r:id="rId2"/>
  </cacheSource>
  <cacheFields count="9">
    <cacheField name="日期" numFmtId="14">
      <sharedItems containsSemiMixedTypes="0" containsNonDate="0" containsDate="1" containsString="0" minDate="2012-02-01T00:00:00" maxDate="2012-02-02T00:00:00" count="1">
        <d v="2012-02-01T00:00:00"/>
      </sharedItems>
    </cacheField>
    <cacheField name="时间" numFmtId="177">
      <sharedItems containsSemiMixedTypes="0" containsNonDate="0" containsDate="1" containsString="0" minDate="1899-12-30T10:30:00" maxDate="1899-12-30T11:45:00"/>
    </cacheField>
    <cacheField name="交易号" numFmtId="0">
      <sharedItems containsSemiMixedTypes="0" containsString="0" containsNumber="1" containsInteger="1" minValue="1001" maxValue="1005"/>
    </cacheField>
    <cacheField name="SKU/产品编号" numFmtId="49">
      <sharedItems containsSemiMixedTypes="0" containsString="0" containsNumber="1" containsInteger="1" minValue="90001" maxValue="90023" count="5">
        <n v="90001"/>
        <n v="90023"/>
        <n v="90005"/>
        <n v="90004"/>
        <n v="90002"/>
      </sharedItems>
    </cacheField>
    <cacheField name="说明" numFmtId="0">
      <sharedItems count="5">
        <s v="毯子"/>
        <s v="桌布（6 英寸圆形）"/>
        <s v="圆形盘"/>
        <s v="方形盘"/>
        <s v="枕头"/>
      </sharedItems>
    </cacheField>
    <cacheField name="销售额" numFmtId="176">
      <sharedItems containsSemiMixedTypes="0" containsString="0" containsNumber="1" minValue="29.5" maxValue="749.5"/>
    </cacheField>
    <cacheField name="税率" numFmtId="10">
      <sharedItems containsSemiMixedTypes="0" containsString="0" containsNumber="1" minValue="0.05" maxValue="0.05"/>
    </cacheField>
    <cacheField name="营业税" numFmtId="176">
      <sharedItems containsSemiMixedTypes="0" containsString="0" containsNumber="1" minValue="1.4750000000000001" maxValue="37.475000000000001"/>
    </cacheField>
    <cacheField name="总计" numFmtId="176">
      <sharedItems containsSemiMixedTypes="0" containsString="0" containsNumber="1" minValue="30.975000000000001" maxValue="786.975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d v="1899-12-30T10:30:00"/>
    <n v="1001"/>
    <x v="0"/>
    <x v="0"/>
    <n v="749.5"/>
    <n v="0.05"/>
    <n v="37.475000000000001"/>
    <n v="786.97500000000002"/>
  </r>
  <r>
    <x v="0"/>
    <d v="1899-12-30T10:33:00"/>
    <n v="1002"/>
    <x v="1"/>
    <x v="1"/>
    <n v="349.9"/>
    <n v="0.05"/>
    <n v="17.495000000000001"/>
    <n v="367.39499999999998"/>
  </r>
  <r>
    <x v="0"/>
    <d v="1899-12-30T10:45:00"/>
    <n v="1003"/>
    <x v="2"/>
    <x v="2"/>
    <n v="559.5"/>
    <n v="0.05"/>
    <n v="27.975000000000001"/>
    <n v="587.47500000000002"/>
  </r>
  <r>
    <x v="0"/>
    <d v="1899-12-30T10:55:00"/>
    <n v="1004"/>
    <x v="3"/>
    <x v="3"/>
    <n v="29.5"/>
    <n v="0.05"/>
    <n v="1.4750000000000001"/>
    <n v="30.975000000000001"/>
  </r>
  <r>
    <x v="0"/>
    <d v="1899-12-30T11:45:00"/>
    <n v="1005"/>
    <x v="4"/>
    <x v="4"/>
    <n v="149.80000000000001"/>
    <n v="0.05"/>
    <n v="7.4900000000000011"/>
    <n v="157.29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SalesReport" cacheId="32" applyNumberFormats="0" applyBorderFormats="0" applyFontFormats="0" applyPatternFormats="0" applyAlignmentFormats="0" applyWidthHeightFormats="1" dataCaption="Values" grandTotalCaption="总计_x000a_" updatedVersion="5" minRefreshableVersion="3" showDrill="0" itemPrintTitles="1" createdVersion="4" indent="0" compact="0" compactData="0" multipleFieldFilters="0">
  <location ref="B8:G14" firstHeaderRow="0" firstDataRow="1" firstDataCol="3"/>
  <pivotFields count="9">
    <pivotField axis="axisRow" compact="0" numFmtId="14" outline="0" showAll="0" defaultSubtotal="0">
      <items count="1">
        <item x="0"/>
      </items>
    </pivotField>
    <pivotField compact="0" numFmtId="177" outline="0" showAll="0" defaultSubtotal="0"/>
    <pivotField compact="0" outline="0" showAll="0" defaultSubtotal="0"/>
    <pivotField axis="axisRow" compact="0" numFmtId="49" outline="0" showAll="0" defaultSubtotal="0">
      <items count="5">
        <item x="0"/>
        <item x="4"/>
        <item x="3"/>
        <item x="2"/>
        <item x="1"/>
      </items>
    </pivotField>
    <pivotField axis="axisRow" compact="0" outline="0" showAll="0" defaultSubtotal="0">
      <items count="5">
        <item x="3"/>
        <item x="4"/>
        <item x="0"/>
        <item x="2"/>
        <item x="1"/>
      </items>
    </pivotField>
    <pivotField dataField="1" compact="0" numFmtId="176" outline="0" showAll="0" defaultSubtotal="0"/>
    <pivotField compact="0" numFmtId="10" outline="0" showAll="0" defaultSubtotal="0"/>
    <pivotField dataField="1" compact="0" numFmtId="176" outline="0" showAll="0" defaultSubtotal="0"/>
    <pivotField dataField="1" compact="0" numFmtId="176" outline="0" showAll="0" defaultSubtotal="0"/>
  </pivotFields>
  <rowFields count="3">
    <field x="3"/>
    <field x="4"/>
    <field x="0"/>
  </rowFields>
  <rowItems count="6">
    <i>
      <x/>
      <x v="2"/>
      <x/>
    </i>
    <i>
      <x v="1"/>
      <x v="1"/>
      <x/>
    </i>
    <i>
      <x v="2"/>
      <x/>
      <x/>
    </i>
    <i>
      <x v="3"/>
      <x v="3"/>
      <x/>
    </i>
    <i>
      <x v="4"/>
      <x v="4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 销售额" fld="5" baseField="0" baseItem="0"/>
    <dataField name="营业税 " fld="7" baseField="0" baseItem="0"/>
    <dataField name="总计 " fld="8" baseField="0" baseItem="0"/>
  </dataFields>
  <formats count="56"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dataOnly="0" labelOnly="1" grandRow="1" outline="0" fieldPosition="0"/>
    </format>
    <format dxfId="53">
      <pivotArea grandRow="1" outline="0" collapsedLevelsAreSubtotals="1" fieldPosition="0"/>
    </format>
    <format dxfId="52">
      <pivotArea grandRow="1" outline="0" collapsedLevelsAreSubtotals="1" fieldPosition="0"/>
    </format>
    <format dxfId="51">
      <pivotArea grandRow="1" outline="0" collapsedLevelsAreSubtotals="1" fieldPosition="0"/>
    </format>
    <format dxfId="50">
      <pivotArea grandRow="1" outline="0" collapsedLevelsAreSubtotals="1" fieldPosition="0"/>
    </format>
    <format dxfId="49">
      <pivotArea grandRow="1" outline="0" collapsedLevelsAreSubtotals="1" fieldPosition="0"/>
    </format>
    <format dxfId="48">
      <pivotArea grandRow="1" outline="0" collapsedLevelsAreSubtotals="1" fieldPosition="0"/>
    </format>
    <format dxfId="47">
      <pivotArea dataOnly="0" labelOnly="1" grandRow="1" outline="0" fieldPosition="0"/>
    </format>
    <format dxfId="46">
      <pivotArea grandRow="1" outline="0" collapsedLevelsAreSubtotals="1" fieldPosition="0"/>
    </format>
    <format dxfId="45">
      <pivotArea dataOnly="0" labelOnly="1" grandRow="1" outline="0" fieldPosition="0"/>
    </format>
    <format dxfId="44">
      <pivotArea dataOnly="0" labelOnly="1" grandRow="1" outline="0" fieldPosition="0"/>
    </format>
    <format dxfId="43">
      <pivotArea grandRow="1" outline="0" collapsedLevelsAreSubtotals="1" fieldPosition="0"/>
    </format>
    <format dxfId="42">
      <pivotArea dataOnly="0" labelOnly="1" grandRow="1" outline="0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grandRow="1" outline="0" collapsedLevelsAreSubtotals="1" fieldPosition="0"/>
    </format>
    <format dxfId="39">
      <pivotArea dataOnly="0" labelOnly="1" grandRow="1" outline="0" fieldPosition="0"/>
    </format>
    <format dxfId="38">
      <pivotArea outline="0" collapsedLevelsAreSubtotals="1" fieldPosition="0">
        <references count="4">
          <reference field="4294967294" count="1" selected="0">
            <x v="0"/>
          </reference>
          <reference field="0" count="0" selected="0"/>
          <reference field="3" count="0" selected="0"/>
          <reference field="4" count="0" selected="0"/>
        </references>
      </pivotArea>
    </format>
    <format dxfId="37">
      <pivotArea dataOnly="0" labelOnly="1" outline="0" fieldPosition="0">
        <references count="1">
          <reference field="3" count="0"/>
        </references>
      </pivotArea>
    </format>
    <format dxfId="36">
      <pivotArea dataOnly="0" labelOnly="1" outline="0" fieldPosition="0">
        <references count="2">
          <reference field="3" count="1" selected="0">
            <x v="0"/>
          </reference>
          <reference field="4" count="1">
            <x v="2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"/>
          </reference>
          <reference field="4" count="1">
            <x v="1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2"/>
          </reference>
          <reference field="4" count="1">
            <x v="0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3"/>
          </reference>
          <reference field="4" count="1">
            <x v="3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4"/>
          </reference>
          <reference field="4" count="1">
            <x v="4"/>
          </reference>
        </references>
      </pivotArea>
    </format>
    <format dxfId="31">
      <pivotArea dataOnly="0" labelOnly="1" outline="0" fieldPosition="0">
        <references count="3">
          <reference field="0" count="0"/>
          <reference field="3" count="1" selected="0">
            <x v="0"/>
          </reference>
          <reference field="4" count="1" selected="0">
            <x v="2"/>
          </reference>
        </references>
      </pivotArea>
    </format>
    <format dxfId="30">
      <pivotArea dataOnly="0" labelOnly="1" outline="0" fieldPosition="0">
        <references count="3">
          <reference field="0" count="0"/>
          <reference field="3" count="1" selected="0">
            <x v="1"/>
          </reference>
          <reference field="4" count="1" selected="0">
            <x v="1"/>
          </reference>
        </references>
      </pivotArea>
    </format>
    <format dxfId="29">
      <pivotArea dataOnly="0" labelOnly="1" outline="0" fieldPosition="0">
        <references count="3">
          <reference field="0" count="0"/>
          <reference field="3" count="1" selected="0">
            <x v="2"/>
          </reference>
          <reference field="4" count="1" selected="0">
            <x v="0"/>
          </reference>
        </references>
      </pivotArea>
    </format>
    <format dxfId="28">
      <pivotArea dataOnly="0" labelOnly="1" outline="0" fieldPosition="0">
        <references count="3">
          <reference field="0" count="0"/>
          <reference field="3" count="1" selected="0">
            <x v="3"/>
          </reference>
          <reference field="4" count="1" selected="0">
            <x v="3"/>
          </reference>
        </references>
      </pivotArea>
    </format>
    <format dxfId="27">
      <pivotArea dataOnly="0" labelOnly="1" outline="0" fieldPosition="0">
        <references count="3">
          <reference field="0" count="0"/>
          <reference field="3" count="1" selected="0">
            <x v="4"/>
          </reference>
          <reference field="4" count="1" selected="0">
            <x v="4"/>
          </reference>
        </references>
      </pivotArea>
    </format>
    <format dxfId="26">
      <pivotArea outline="0" collapsedLevelsAreSubtotals="1" fieldPosition="0">
        <references count="4">
          <reference field="4294967294" count="1" selected="0">
            <x v="0"/>
          </reference>
          <reference field="0" count="0" selected="0"/>
          <reference field="3" count="0" selected="0"/>
          <reference field="4" count="0" selected="0"/>
        </references>
      </pivotArea>
    </format>
    <format dxfId="25">
      <pivotArea dataOnly="0" labelOnly="1" outline="0" fieldPosition="0">
        <references count="3">
          <reference field="0" count="0"/>
          <reference field="3" count="1" selected="0">
            <x v="0"/>
          </reference>
          <reference field="4" count="1" selected="0">
            <x v="2"/>
          </reference>
        </references>
      </pivotArea>
    </format>
    <format dxfId="24">
      <pivotArea dataOnly="0" labelOnly="1" outline="0" fieldPosition="0">
        <references count="3">
          <reference field="0" count="0"/>
          <reference field="3" count="1" selected="0">
            <x v="1"/>
          </reference>
          <reference field="4" count="1" selected="0">
            <x v="1"/>
          </reference>
        </references>
      </pivotArea>
    </format>
    <format dxfId="23">
      <pivotArea dataOnly="0" labelOnly="1" outline="0" fieldPosition="0">
        <references count="3">
          <reference field="0" count="0"/>
          <reference field="3" count="1" selected="0">
            <x v="2"/>
          </reference>
          <reference field="4" count="1" selected="0">
            <x v="0"/>
          </reference>
        </references>
      </pivotArea>
    </format>
    <format dxfId="22">
      <pivotArea dataOnly="0" labelOnly="1" outline="0" fieldPosition="0">
        <references count="3">
          <reference field="0" count="0"/>
          <reference field="3" count="1" selected="0">
            <x v="3"/>
          </reference>
          <reference field="4" count="1" selected="0">
            <x v="3"/>
          </reference>
        </references>
      </pivotArea>
    </format>
    <format dxfId="21">
      <pivotArea dataOnly="0" labelOnly="1" outline="0" fieldPosition="0">
        <references count="3">
          <reference field="0" count="0"/>
          <reference field="3" count="1" selected="0">
            <x v="4"/>
          </reference>
          <reference field="4" count="1" selected="0">
            <x v="4"/>
          </reference>
        </references>
      </pivotArea>
    </format>
    <format dxfId="20">
      <pivotArea dataOnly="0" labelOnly="1" outline="0" fieldPosition="0">
        <references count="1">
          <reference field="3" count="0"/>
        </references>
      </pivotArea>
    </format>
    <format dxfId="19">
      <pivotArea outline="0" collapsedLevelsAreSubtotals="1" fieldPosition="0">
        <references count="4">
          <reference field="4294967294" count="2" selected="0">
            <x v="0"/>
            <x v="1"/>
          </reference>
          <reference field="0" count="0" selected="0"/>
          <reference field="3" count="0" selected="0"/>
          <reference field="4" count="0" selected="0"/>
        </references>
      </pivotArea>
    </format>
    <format dxfId="18">
      <pivotArea dataOnly="0" labelOnly="1" outline="0" fieldPosition="0">
        <references count="1">
          <reference field="3" count="0"/>
        </references>
      </pivotArea>
    </format>
    <format dxfId="17">
      <pivotArea dataOnly="0" labelOnly="1" outline="0" fieldPosition="0">
        <references count="2">
          <reference field="3" count="1" selected="0">
            <x v="0"/>
          </reference>
          <reference field="4" count="1">
            <x v="2"/>
          </reference>
        </references>
      </pivotArea>
    </format>
    <format dxfId="16">
      <pivotArea dataOnly="0" labelOnly="1" outline="0" fieldPosition="0">
        <references count="2">
          <reference field="3" count="1" selected="0">
            <x v="1"/>
          </reference>
          <reference field="4" count="1">
            <x v="1"/>
          </reference>
        </references>
      </pivotArea>
    </format>
    <format dxfId="15">
      <pivotArea dataOnly="0" labelOnly="1" outline="0" fieldPosition="0">
        <references count="2">
          <reference field="3" count="1" selected="0">
            <x v="2"/>
          </reference>
          <reference field="4" count="1">
            <x v="0"/>
          </reference>
        </references>
      </pivotArea>
    </format>
    <format dxfId="14">
      <pivotArea dataOnly="0" labelOnly="1" outline="0" fieldPosition="0">
        <references count="2">
          <reference field="3" count="1" selected="0">
            <x v="3"/>
          </reference>
          <reference field="4" count="1">
            <x v="3"/>
          </reference>
        </references>
      </pivotArea>
    </format>
    <format dxfId="13">
      <pivotArea dataOnly="0" labelOnly="1" outline="0" fieldPosition="0">
        <references count="2">
          <reference field="3" count="1" selected="0">
            <x v="4"/>
          </reference>
          <reference field="4" count="1">
            <x v="4"/>
          </reference>
        </references>
      </pivotArea>
    </format>
    <format dxfId="12">
      <pivotArea dataOnly="0" labelOnly="1" outline="0" fieldPosition="0">
        <references count="3">
          <reference field="0" count="0"/>
          <reference field="3" count="1" selected="0">
            <x v="0"/>
          </reference>
          <reference field="4" count="1" selected="0">
            <x v="2"/>
          </reference>
        </references>
      </pivotArea>
    </format>
    <format dxfId="11">
      <pivotArea dataOnly="0" labelOnly="1" outline="0" fieldPosition="0">
        <references count="3">
          <reference field="0" count="0"/>
          <reference field="3" count="1" selected="0">
            <x v="1"/>
          </reference>
          <reference field="4" count="1" selected="0">
            <x v="1"/>
          </reference>
        </references>
      </pivotArea>
    </format>
    <format dxfId="10">
      <pivotArea dataOnly="0" labelOnly="1" outline="0" fieldPosition="0">
        <references count="3">
          <reference field="0" count="0"/>
          <reference field="3" count="1" selected="0">
            <x v="2"/>
          </reference>
          <reference field="4" count="1" selected="0">
            <x v="0"/>
          </reference>
        </references>
      </pivotArea>
    </format>
    <format dxfId="9">
      <pivotArea dataOnly="0" labelOnly="1" outline="0" fieldPosition="0">
        <references count="3">
          <reference field="0" count="0"/>
          <reference field="3" count="1" selected="0">
            <x v="3"/>
          </reference>
          <reference field="4" count="1" selected="0">
            <x v="3"/>
          </reference>
        </references>
      </pivotArea>
    </format>
    <format dxfId="8">
      <pivotArea dataOnly="0" labelOnly="1" outline="0" fieldPosition="0">
        <references count="3">
          <reference field="0" count="0"/>
          <reference field="3" count="1" selected="0">
            <x v="4"/>
          </reference>
          <reference field="4" count="1" selected="0">
            <x v="4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grandRow="1" outline="0" collapsedLevelsAreSubtotals="1" fieldPosition="0"/>
    </format>
    <format dxfId="5">
      <pivotArea dataOnly="0" labelOnly="1" grandRow="1" outline="0" fieldPosition="0"/>
    </format>
    <format dxfId="4">
      <pivotArea outline="0" collapsedLevelsAreSubtotals="1" fieldPosition="0"/>
    </format>
  </formats>
  <pivotTableStyleInfo name="Sales Repor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Pivot Table" altTextSummary="Sales Report Pivot Table.  Shows a total by SKU/PRODUCT NUMBER, DESCRIPTION and DATE, showing totals of Sales Tax and Total.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SalesData" displayName="tblSalesData" ref="B8:J13" headerRowDxfId="71" dataDxfId="70" totalsRowDxfId="69">
  <autoFilter ref="B8:J13"/>
  <tableColumns count="9">
    <tableColumn id="1" name="日期" totalsRowLabel="Total" dataDxfId="68"/>
    <tableColumn id="2" name="时间" dataDxfId="67"/>
    <tableColumn id="3" name="交易号" dataDxfId="66"/>
    <tableColumn id="8" name="SKU/产品编号" dataDxfId="65"/>
    <tableColumn id="4" name="说明" dataDxfId="64">
      <calculatedColumnFormula>IFERROR(IF(ISNA(VLOOKUP(tblSalesData[[#This Row],[SKU/产品编号]],tblInventory[],2,0)),"",VLOOKUP(tblSalesData[[#This Row],[SKU/产品编号]],tblInventory[],2,0)),"No description found")</calculatedColumnFormula>
    </tableColumn>
    <tableColumn id="5" name="销售额" dataDxfId="63"/>
    <tableColumn id="9" name="税率" dataDxfId="62"/>
    <tableColumn id="6" name="营业税" dataDxfId="61">
      <calculatedColumnFormula>tblSalesData[[#This Row],[销售额]]*tblSalesData[[#This Row],[税率]]</calculatedColumnFormula>
    </tableColumn>
    <tableColumn id="7" name="总计" totalsRowFunction="sum" dataDxfId="60">
      <calculatedColumnFormula>tblSalesData[[#This Row],[销售额]]+tblSalesData[[#This Row],[营业税]]</calculatedColumnFormula>
    </tableColumn>
  </tableColumns>
  <tableStyleInfo name="Cash Register Sales" showFirstColumn="0" showLastColumn="1" showRowStripes="1" showColumnStripes="0"/>
  <extLst>
    <ext xmlns:x14="http://schemas.microsoft.com/office/spreadsheetml/2009/9/main" uri="{504A1905-F514-4f6f-8877-14C23A59335A}">
      <x14:table altText="表格" altTextSummary="“销售数据表格”。请输入每日的销售交易。描述将根据“库存”工作表，按“SKU/产品编号”以公式自动填写。“销售税”和“总计”为计算值。"/>
    </ext>
  </extLst>
</table>
</file>

<file path=xl/tables/table2.xml><?xml version="1.0" encoding="utf-8"?>
<table xmlns="http://schemas.openxmlformats.org/spreadsheetml/2006/main" id="2" name="tblInventory" displayName="tblInventory" ref="B8:C31" totalsRowShown="0" headerRowDxfId="3" dataDxfId="2">
  <tableColumns count="2">
    <tableColumn id="1" name="SKU/产品编号" dataDxfId="1"/>
    <tableColumn id="2" name="说明" dataDxfId="0"/>
  </tableColumns>
  <tableStyleInfo name="Cash Register Sales" showFirstColumn="0" showLastColumn="0" showRowStripes="1" showColumnStripes="0"/>
  <extLst>
    <ext xmlns:x14="http://schemas.microsoft.com/office/spreadsheetml/2009/9/main" uri="{504A1905-F514-4f6f-8877-14C23A59335A}">
      <x14:table altText="表格" altTextSummary="库存表格。请输入 SKU/产品编号及其相应描述。当您输入一个 SKU/产品编号时，将填充“销售数据”工作表。"/>
    </ext>
  </extLst>
</table>
</file>

<file path=xl/theme/theme1.xml><?xml version="1.0" encoding="utf-8"?>
<a:theme xmlns:a="http://schemas.openxmlformats.org/drawingml/2006/main" name="Office Theme">
  <a:themeElements>
    <a:clrScheme name="Daily Cash Register Sales">
      <a:dk1>
        <a:srgbClr val="000000"/>
      </a:dk1>
      <a:lt1>
        <a:srgbClr val="FFFFFF"/>
      </a:lt1>
      <a:dk2>
        <a:srgbClr val="4D4D4F"/>
      </a:dk2>
      <a:lt2>
        <a:srgbClr val="F7F6F0"/>
      </a:lt2>
      <a:accent1>
        <a:srgbClr val="E0A336"/>
      </a:accent1>
      <a:accent2>
        <a:srgbClr val="CC6600"/>
      </a:accent2>
      <a:accent3>
        <a:srgbClr val="B53820"/>
      </a:accent3>
      <a:accent4>
        <a:srgbClr val="4BA6C6"/>
      </a:accent4>
      <a:accent5>
        <a:srgbClr val="2EBC67"/>
      </a:accent5>
      <a:accent6>
        <a:srgbClr val="6D2F91"/>
      </a:accent6>
      <a:hlink>
        <a:srgbClr val="4BA6C6"/>
      </a:hlink>
      <a:folHlink>
        <a:srgbClr val="6D2F91"/>
      </a:folHlink>
    </a:clrScheme>
    <a:fontScheme name="Daily Cash Register Sale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  <pageSetUpPr autoPageBreaks="0" fitToPage="1"/>
  </sheetPr>
  <dimension ref="B1:K13"/>
  <sheetViews>
    <sheetView showGridLines="0" tabSelected="1" zoomScaleNormal="100" workbookViewId="0"/>
  </sheetViews>
  <sheetFormatPr defaultRowHeight="21" customHeight="1" x14ac:dyDescent="0.3"/>
  <cols>
    <col min="1" max="1" width="3.28515625" style="2" customWidth="1"/>
    <col min="2" max="2" width="16.140625" style="9" customWidth="1"/>
    <col min="3" max="3" width="14.7109375" style="11" customWidth="1"/>
    <col min="4" max="4" width="23" style="11" customWidth="1"/>
    <col min="5" max="5" width="23.140625" style="11" customWidth="1"/>
    <col min="6" max="6" width="25.85546875" style="11" customWidth="1"/>
    <col min="7" max="7" width="18.42578125" style="18" customWidth="1"/>
    <col min="8" max="8" width="12.85546875" style="18" bestFit="1" customWidth="1"/>
    <col min="9" max="9" width="13.85546875" style="18" customWidth="1"/>
    <col min="10" max="10" width="16.5703125" style="18" customWidth="1"/>
    <col min="11" max="11" width="3.28515625" style="2" customWidth="1"/>
    <col min="12" max="16384" width="9.140625" style="2"/>
  </cols>
  <sheetData>
    <row r="1" spans="2:11" ht="16.5" x14ac:dyDescent="0.3">
      <c r="B1" s="12"/>
      <c r="C1" s="2"/>
      <c r="D1" s="2"/>
      <c r="E1" s="2"/>
      <c r="F1" s="2"/>
      <c r="G1" s="13"/>
      <c r="H1" s="13"/>
      <c r="I1" s="13"/>
      <c r="J1" s="2"/>
    </row>
    <row r="2" spans="2:11" ht="40.5" x14ac:dyDescent="0.3">
      <c r="B2" s="3" t="s">
        <v>26</v>
      </c>
      <c r="C2" s="2"/>
      <c r="D2" s="2"/>
      <c r="E2" s="2"/>
      <c r="F2" s="2"/>
      <c r="G2" s="13"/>
      <c r="H2" s="13"/>
      <c r="I2" s="13"/>
      <c r="J2" s="2"/>
    </row>
    <row r="3" spans="2:11" ht="17.25" customHeight="1" x14ac:dyDescent="0.3">
      <c r="B3" s="14"/>
      <c r="C3" s="2"/>
      <c r="D3" s="2"/>
      <c r="E3" s="2"/>
      <c r="F3" s="2"/>
      <c r="G3" s="13"/>
      <c r="H3" s="13"/>
      <c r="I3" s="13"/>
      <c r="J3" s="13"/>
    </row>
    <row r="4" spans="2:11" ht="15.75" customHeight="1" x14ac:dyDescent="0.3">
      <c r="B4" s="12"/>
      <c r="C4" s="2"/>
      <c r="D4" s="2"/>
      <c r="E4" s="2"/>
      <c r="F4" s="2"/>
      <c r="G4" s="13"/>
      <c r="H4" s="13"/>
      <c r="I4" s="13"/>
      <c r="J4" s="13"/>
    </row>
    <row r="5" spans="2:11" ht="17.25" customHeight="1" x14ac:dyDescent="0.3">
      <c r="B5" s="12"/>
      <c r="C5" s="2"/>
      <c r="D5" s="2"/>
      <c r="E5" s="2"/>
      <c r="F5" s="2"/>
      <c r="G5" s="13"/>
      <c r="H5" s="13"/>
      <c r="I5" s="13"/>
      <c r="J5" s="13"/>
    </row>
    <row r="6" spans="2:11" ht="16.5" x14ac:dyDescent="0.3">
      <c r="B6" s="5"/>
      <c r="C6" s="15"/>
      <c r="D6" s="15"/>
      <c r="E6" s="15"/>
      <c r="F6" s="15"/>
      <c r="G6" s="16"/>
      <c r="H6" s="16"/>
      <c r="I6" s="16"/>
      <c r="J6" s="16"/>
      <c r="K6" s="2" t="s">
        <v>0</v>
      </c>
    </row>
    <row r="7" spans="2:11" ht="16.5" x14ac:dyDescent="0.3">
      <c r="B7" s="5"/>
      <c r="C7" s="15"/>
      <c r="D7" s="15"/>
      <c r="E7" s="15"/>
      <c r="F7" s="15"/>
      <c r="G7" s="16"/>
      <c r="H7" s="16"/>
      <c r="I7" s="16"/>
      <c r="J7" s="16"/>
      <c r="K7" s="2" t="s">
        <v>0</v>
      </c>
    </row>
    <row r="8" spans="2:11" ht="21" customHeight="1" x14ac:dyDescent="0.3">
      <c r="B8" s="19" t="s">
        <v>27</v>
      </c>
      <c r="C8" s="20" t="s">
        <v>28</v>
      </c>
      <c r="D8" s="20" t="s">
        <v>29</v>
      </c>
      <c r="E8" s="20" t="s">
        <v>24</v>
      </c>
      <c r="F8" s="20" t="s">
        <v>25</v>
      </c>
      <c r="G8" s="21" t="s">
        <v>30</v>
      </c>
      <c r="H8" s="21" t="s">
        <v>31</v>
      </c>
      <c r="I8" s="21" t="s">
        <v>32</v>
      </c>
      <c r="J8" s="21" t="s">
        <v>33</v>
      </c>
    </row>
    <row r="9" spans="2:11" ht="21" customHeight="1" x14ac:dyDescent="0.3">
      <c r="B9" s="29">
        <v>40940</v>
      </c>
      <c r="C9" s="30">
        <v>0.4375</v>
      </c>
      <c r="D9" s="27">
        <v>1001</v>
      </c>
      <c r="E9" s="31">
        <v>90001</v>
      </c>
      <c r="F9" s="27" t="str">
        <f>IFERROR(IF(ISNA(VLOOKUP(tblSalesData[[#This Row],[SKU/产品编号]],tblInventory[],2,0)),"",VLOOKUP(tblSalesData[[#This Row],[SKU/产品编号]],tblInventory[],2,0)),"No description found")</f>
        <v>毯子</v>
      </c>
      <c r="G9" s="32">
        <v>749.5</v>
      </c>
      <c r="H9" s="33">
        <v>0.05</v>
      </c>
      <c r="I9" s="17">
        <f>tblSalesData[[#This Row],[销售额]]*tblSalesData[[#This Row],[税率]]</f>
        <v>37.475000000000001</v>
      </c>
      <c r="J9" s="35">
        <f>tblSalesData[[#This Row],[销售额]]+tblSalesData[[#This Row],[营业税]]</f>
        <v>786.97500000000002</v>
      </c>
    </row>
    <row r="10" spans="2:11" ht="21" customHeight="1" x14ac:dyDescent="0.3">
      <c r="B10" s="29">
        <v>40940</v>
      </c>
      <c r="C10" s="30">
        <v>0.43958333333333338</v>
      </c>
      <c r="D10" s="27">
        <v>1002</v>
      </c>
      <c r="E10" s="31">
        <v>90023</v>
      </c>
      <c r="F10" s="27" t="str">
        <f>IFERROR(IF(ISNA(VLOOKUP(tblSalesData[[#This Row],[SKU/产品编号]],tblInventory[],2,0)),"",VLOOKUP(tblSalesData[[#This Row],[SKU/产品编号]],tblInventory[],2,0)),"No description found")</f>
        <v>桌布（6 英寸圆形）</v>
      </c>
      <c r="G10" s="32">
        <v>349.9</v>
      </c>
      <c r="H10" s="33">
        <v>0.05</v>
      </c>
      <c r="I10" s="17">
        <f>tblSalesData[[#This Row],[销售额]]*tblSalesData[[#This Row],[税率]]</f>
        <v>17.495000000000001</v>
      </c>
      <c r="J10" s="35">
        <f>tblSalesData[[#This Row],[销售额]]+tblSalesData[[#This Row],[营业税]]</f>
        <v>367.39499999999998</v>
      </c>
    </row>
    <row r="11" spans="2:11" ht="21" customHeight="1" x14ac:dyDescent="0.3">
      <c r="B11" s="29">
        <v>40940</v>
      </c>
      <c r="C11" s="30">
        <v>0.44791666666666669</v>
      </c>
      <c r="D11" s="27">
        <v>1003</v>
      </c>
      <c r="E11" s="31">
        <v>90005</v>
      </c>
      <c r="F11" s="27" t="str">
        <f>IFERROR(IF(ISNA(VLOOKUP(tblSalesData[[#This Row],[SKU/产品编号]],tblInventory[],2,0)),"",VLOOKUP(tblSalesData[[#This Row],[SKU/产品编号]],tblInventory[],2,0)),"No description found")</f>
        <v>圆形盘</v>
      </c>
      <c r="G11" s="32">
        <v>559.5</v>
      </c>
      <c r="H11" s="33">
        <v>0.05</v>
      </c>
      <c r="I11" s="17">
        <f>tblSalesData[[#This Row],[销售额]]*tblSalesData[[#This Row],[税率]]</f>
        <v>27.975000000000001</v>
      </c>
      <c r="J11" s="35">
        <f>tblSalesData[[#This Row],[销售额]]+tblSalesData[[#This Row],[营业税]]</f>
        <v>587.47500000000002</v>
      </c>
    </row>
    <row r="12" spans="2:11" ht="21" customHeight="1" x14ac:dyDescent="0.3">
      <c r="B12" s="29">
        <v>40940</v>
      </c>
      <c r="C12" s="30">
        <v>0.4548611111111111</v>
      </c>
      <c r="D12" s="27">
        <v>1004</v>
      </c>
      <c r="E12" s="31">
        <v>90004</v>
      </c>
      <c r="F12" s="34" t="str">
        <f>IFERROR(IF(ISNA(VLOOKUP(tblSalesData[[#This Row],[SKU/产品编号]],tblInventory[],2,0)),"",VLOOKUP(tblSalesData[[#This Row],[SKU/产品编号]],tblInventory[],2,0)),"No description found")</f>
        <v>方形盘</v>
      </c>
      <c r="G12" s="32">
        <v>29.5</v>
      </c>
      <c r="H12" s="33">
        <v>0.05</v>
      </c>
      <c r="I12" s="17">
        <f>tblSalesData[[#This Row],[销售额]]*tblSalesData[[#This Row],[税率]]</f>
        <v>1.4750000000000001</v>
      </c>
      <c r="J12" s="35">
        <f>tblSalesData[[#This Row],[销售额]]+tblSalesData[[#This Row],[营业税]]</f>
        <v>30.975000000000001</v>
      </c>
    </row>
    <row r="13" spans="2:11" ht="21" customHeight="1" thickBot="1" x14ac:dyDescent="0.35">
      <c r="B13" s="36">
        <v>40940</v>
      </c>
      <c r="C13" s="37">
        <v>0.48958333333333331</v>
      </c>
      <c r="D13" s="38">
        <v>1005</v>
      </c>
      <c r="E13" s="39">
        <v>90002</v>
      </c>
      <c r="F13" s="40" t="str">
        <f>IFERROR(IF(ISNA(VLOOKUP(tblSalesData[[#This Row],[SKU/产品编号]],tblInventory[],2,0)),"",VLOOKUP(tblSalesData[[#This Row],[SKU/产品编号]],tblInventory[],2,0)),"No description found")</f>
        <v>枕头</v>
      </c>
      <c r="G13" s="41">
        <v>149.80000000000001</v>
      </c>
      <c r="H13" s="42">
        <v>0.05</v>
      </c>
      <c r="I13" s="43">
        <f>tblSalesData[[#This Row],[销售额]]*tblSalesData[[#This Row],[税率]]</f>
        <v>7.4900000000000011</v>
      </c>
      <c r="J13" s="44">
        <f>tblSalesData[[#This Row],[销售额]]+tblSalesData[[#This Row],[营业税]]</f>
        <v>157.29000000000002</v>
      </c>
    </row>
  </sheetData>
  <phoneticPr fontId="2" type="noConversion"/>
  <dataValidations count="1">
    <dataValidation type="list" errorStyle="warning" allowBlank="1" showInputMessage="1" showErrorMessage="1" errorTitle="Whoops!" error="These numbers are from a list on the Inventory sheet.  To add it to the drop down list, click Cancel, go to the Inventory sheet and add it to the list." sqref="E9:E13">
      <formula1>PN</formula1>
    </dataValidation>
  </dataValidations>
  <printOptions horizontalCentered="1"/>
  <pageMargins left="0.25" right="0.25" top="0.75" bottom="0.75" header="0.3" footer="0.3"/>
  <pageSetup scale="86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 fitToPage="1"/>
  </sheetPr>
  <dimension ref="B1:G25"/>
  <sheetViews>
    <sheetView showGridLines="0" zoomScaleNormal="100" workbookViewId="0"/>
  </sheetViews>
  <sheetFormatPr defaultRowHeight="21" customHeight="1" x14ac:dyDescent="0.3"/>
  <cols>
    <col min="1" max="1" width="3.28515625" style="2" customWidth="1"/>
    <col min="2" max="2" width="28.7109375" style="28" customWidth="1"/>
    <col min="3" max="3" width="35" style="11" customWidth="1"/>
    <col min="4" max="4" width="16.28515625" style="11" customWidth="1"/>
    <col min="5" max="7" width="13.7109375" style="11" customWidth="1"/>
    <col min="8" max="16384" width="9.140625" style="2"/>
  </cols>
  <sheetData>
    <row r="1" spans="2:7" ht="16.5" x14ac:dyDescent="0.3">
      <c r="B1" s="22"/>
      <c r="C1" s="1"/>
      <c r="D1" s="1"/>
      <c r="E1" s="1"/>
      <c r="F1" s="1"/>
      <c r="G1" s="1"/>
    </row>
    <row r="2" spans="2:7" ht="40.5" x14ac:dyDescent="0.3">
      <c r="B2" s="3" t="s">
        <v>26</v>
      </c>
      <c r="C2" s="1"/>
      <c r="D2" s="1"/>
      <c r="E2" s="1"/>
      <c r="F2" s="1"/>
      <c r="G2" s="23"/>
    </row>
    <row r="3" spans="2:7" ht="17.25" customHeight="1" x14ac:dyDescent="0.3">
      <c r="B3" s="24"/>
      <c r="C3" s="1"/>
      <c r="D3" s="1"/>
      <c r="E3" s="1"/>
      <c r="F3" s="1"/>
      <c r="G3" s="1"/>
    </row>
    <row r="4" spans="2:7" ht="15.75" customHeight="1" x14ac:dyDescent="0.3">
      <c r="B4" s="25"/>
      <c r="C4" s="1"/>
      <c r="D4" s="1"/>
      <c r="E4" s="1"/>
      <c r="F4" s="1"/>
      <c r="G4" s="1"/>
    </row>
    <row r="5" spans="2:7" ht="17.25" customHeight="1" x14ac:dyDescent="0.3">
      <c r="B5" s="25"/>
      <c r="C5" s="1"/>
      <c r="D5" s="1"/>
      <c r="E5" s="1"/>
      <c r="F5" s="1"/>
      <c r="G5" s="1"/>
    </row>
    <row r="6" spans="2:7" ht="16.5" x14ac:dyDescent="0.3">
      <c r="B6" s="26"/>
      <c r="C6" s="15"/>
      <c r="D6" s="15"/>
      <c r="E6" s="15"/>
      <c r="F6" s="15"/>
      <c r="G6" s="15"/>
    </row>
    <row r="7" spans="2:7" ht="16.5" x14ac:dyDescent="0.3">
      <c r="B7" s="26"/>
      <c r="C7" s="15"/>
      <c r="D7" s="5"/>
      <c r="E7" s="45"/>
      <c r="F7" s="45"/>
      <c r="G7" s="45"/>
    </row>
    <row r="8" spans="2:7" ht="17.25" thickBot="1" x14ac:dyDescent="0.35">
      <c r="B8" s="48" t="s">
        <v>24</v>
      </c>
      <c r="C8" s="48" t="s">
        <v>25</v>
      </c>
      <c r="D8" s="48" t="s">
        <v>27</v>
      </c>
      <c r="E8" s="55" t="s">
        <v>34</v>
      </c>
      <c r="F8" s="55" t="s">
        <v>35</v>
      </c>
      <c r="G8" s="55" t="s">
        <v>36</v>
      </c>
    </row>
    <row r="9" spans="2:7" ht="16.5" x14ac:dyDescent="0.3">
      <c r="B9" s="54">
        <v>90001</v>
      </c>
      <c r="C9" s="52" t="s">
        <v>1</v>
      </c>
      <c r="D9" s="53">
        <v>40940</v>
      </c>
      <c r="E9" s="56">
        <v>749.5</v>
      </c>
      <c r="F9" s="57">
        <v>37.475000000000001</v>
      </c>
      <c r="G9" s="57">
        <v>786.97500000000002</v>
      </c>
    </row>
    <row r="10" spans="2:7" ht="16.5" x14ac:dyDescent="0.3">
      <c r="B10" s="54">
        <v>90002</v>
      </c>
      <c r="C10" s="52" t="s">
        <v>2</v>
      </c>
      <c r="D10" s="53">
        <v>40940</v>
      </c>
      <c r="E10" s="56">
        <v>149.80000000000001</v>
      </c>
      <c r="F10" s="57">
        <v>7.4900000000000011</v>
      </c>
      <c r="G10" s="57">
        <v>157.29000000000002</v>
      </c>
    </row>
    <row r="11" spans="2:7" ht="16.5" x14ac:dyDescent="0.3">
      <c r="B11" s="54">
        <v>90004</v>
      </c>
      <c r="C11" s="52" t="s">
        <v>4</v>
      </c>
      <c r="D11" s="53">
        <v>40940</v>
      </c>
      <c r="E11" s="56">
        <v>29.5</v>
      </c>
      <c r="F11" s="57">
        <v>1.4750000000000001</v>
      </c>
      <c r="G11" s="57">
        <v>30.975000000000001</v>
      </c>
    </row>
    <row r="12" spans="2:7" ht="16.5" x14ac:dyDescent="0.3">
      <c r="B12" s="54">
        <v>90005</v>
      </c>
      <c r="C12" s="52" t="s">
        <v>5</v>
      </c>
      <c r="D12" s="53">
        <v>40940</v>
      </c>
      <c r="E12" s="56">
        <v>559.5</v>
      </c>
      <c r="F12" s="57">
        <v>27.975000000000001</v>
      </c>
      <c r="G12" s="57">
        <v>587.47500000000002</v>
      </c>
    </row>
    <row r="13" spans="2:7" ht="17.25" thickBot="1" x14ac:dyDescent="0.35">
      <c r="B13" s="54">
        <v>90023</v>
      </c>
      <c r="C13" s="52" t="s">
        <v>23</v>
      </c>
      <c r="D13" s="53">
        <v>40940</v>
      </c>
      <c r="E13" s="56">
        <v>349.9</v>
      </c>
      <c r="F13" s="57">
        <v>17.495000000000001</v>
      </c>
      <c r="G13" s="57">
        <v>367.39499999999998</v>
      </c>
    </row>
    <row r="14" spans="2:7" ht="16.5" x14ac:dyDescent="0.3">
      <c r="B14" s="51" t="s">
        <v>37</v>
      </c>
      <c r="C14" s="50"/>
      <c r="D14" s="50"/>
      <c r="E14" s="58">
        <v>1838.1999999999998</v>
      </c>
      <c r="F14" s="58">
        <v>91.910000000000011</v>
      </c>
      <c r="G14" s="58">
        <v>1930.1100000000001</v>
      </c>
    </row>
    <row r="15" spans="2:7" ht="16.5" x14ac:dyDescent="0.3">
      <c r="B15" s="49"/>
      <c r="C15" s="49"/>
      <c r="D15" s="49"/>
      <c r="E15" s="59"/>
      <c r="F15" s="59"/>
      <c r="G15" s="60"/>
    </row>
    <row r="16" spans="2:7" ht="16.5" x14ac:dyDescent="0.3">
      <c r="B16" s="49"/>
      <c r="C16" s="49"/>
      <c r="D16" s="49"/>
    </row>
    <row r="17" spans="2:4" ht="16.5" x14ac:dyDescent="0.3">
      <c r="B17" s="49"/>
      <c r="C17" s="49"/>
      <c r="D17" s="49"/>
    </row>
    <row r="18" spans="2:4" ht="16.5" x14ac:dyDescent="0.3">
      <c r="B18" s="49"/>
      <c r="C18" s="49"/>
      <c r="D18" s="49"/>
    </row>
    <row r="19" spans="2:4" ht="16.5" x14ac:dyDescent="0.3">
      <c r="B19" s="49"/>
      <c r="C19" s="49"/>
      <c r="D19" s="49"/>
    </row>
    <row r="20" spans="2:4" ht="16.5" x14ac:dyDescent="0.3">
      <c r="B20" s="49"/>
      <c r="C20" s="49"/>
      <c r="D20" s="49"/>
    </row>
    <row r="21" spans="2:4" ht="16.5" x14ac:dyDescent="0.3">
      <c r="B21" s="49"/>
      <c r="C21" s="49"/>
      <c r="D21" s="49"/>
    </row>
    <row r="22" spans="2:4" ht="16.5" x14ac:dyDescent="0.3">
      <c r="B22" s="49"/>
      <c r="C22" s="49"/>
      <c r="D22" s="49"/>
    </row>
    <row r="23" spans="2:4" ht="16.5" x14ac:dyDescent="0.3">
      <c r="B23" s="49"/>
      <c r="C23" s="49"/>
      <c r="D23" s="49"/>
    </row>
    <row r="24" spans="2:4" ht="16.5" x14ac:dyDescent="0.3">
      <c r="B24" s="49"/>
      <c r="C24" s="49"/>
      <c r="D24" s="49"/>
    </row>
    <row r="25" spans="2:4" ht="16.5" x14ac:dyDescent="0.3">
      <c r="B25" s="49"/>
      <c r="C25" s="49"/>
      <c r="D25" s="49"/>
    </row>
  </sheetData>
  <phoneticPr fontId="2" type="noConversion"/>
  <printOptions horizontalCentered="1"/>
  <pageMargins left="0.25" right="0.25" top="0.75" bottom="0.75" header="0.3" footer="0.3"/>
  <pageSetup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autoPageBreaks="0" fitToPage="1"/>
  </sheetPr>
  <dimension ref="B1:C31"/>
  <sheetViews>
    <sheetView showGridLines="0" zoomScaleNormal="100" workbookViewId="0"/>
  </sheetViews>
  <sheetFormatPr defaultRowHeight="21" customHeight="1" x14ac:dyDescent="0.3"/>
  <cols>
    <col min="1" max="1" width="3.28515625" style="2" customWidth="1"/>
    <col min="2" max="2" width="31.85546875" style="10" customWidth="1"/>
    <col min="3" max="3" width="46.85546875" style="11" customWidth="1"/>
    <col min="4" max="16384" width="9.140625" style="2"/>
  </cols>
  <sheetData>
    <row r="1" spans="2:3" ht="16.5" x14ac:dyDescent="0.3">
      <c r="B1" s="1"/>
      <c r="C1" s="1"/>
    </row>
    <row r="2" spans="2:3" ht="40.5" x14ac:dyDescent="0.3">
      <c r="B2" s="3" t="s">
        <v>26</v>
      </c>
      <c r="C2" s="1"/>
    </row>
    <row r="3" spans="2:3" ht="17.25" customHeight="1" x14ac:dyDescent="0.3">
      <c r="B3" s="1"/>
      <c r="C3" s="1"/>
    </row>
    <row r="4" spans="2:3" ht="15.75" customHeight="1" x14ac:dyDescent="0.3">
      <c r="B4" s="1"/>
      <c r="C4" s="1"/>
    </row>
    <row r="5" spans="2:3" ht="17.25" customHeight="1" x14ac:dyDescent="0.3">
      <c r="B5" s="1"/>
      <c r="C5" s="1"/>
    </row>
    <row r="6" spans="2:3" ht="16.5" x14ac:dyDescent="0.3">
      <c r="B6" s="4"/>
      <c r="C6" s="5"/>
    </row>
    <row r="7" spans="2:3" ht="16.5" x14ac:dyDescent="0.3">
      <c r="B7" s="4"/>
      <c r="C7" s="5"/>
    </row>
    <row r="8" spans="2:3" ht="21" customHeight="1" x14ac:dyDescent="0.3">
      <c r="B8" s="6" t="s">
        <v>24</v>
      </c>
      <c r="C8" s="7" t="s">
        <v>25</v>
      </c>
    </row>
    <row r="9" spans="2:3" ht="21" customHeight="1" x14ac:dyDescent="0.3">
      <c r="B9" s="8">
        <v>90001</v>
      </c>
      <c r="C9" s="9" t="s">
        <v>1</v>
      </c>
    </row>
    <row r="10" spans="2:3" ht="21" customHeight="1" x14ac:dyDescent="0.3">
      <c r="B10" s="8">
        <v>90002</v>
      </c>
      <c r="C10" s="9" t="s">
        <v>2</v>
      </c>
    </row>
    <row r="11" spans="2:3" ht="21" customHeight="1" x14ac:dyDescent="0.3">
      <c r="B11" s="8">
        <v>90003</v>
      </c>
      <c r="C11" s="9" t="s">
        <v>3</v>
      </c>
    </row>
    <row r="12" spans="2:3" ht="21" customHeight="1" x14ac:dyDescent="0.3">
      <c r="B12" s="8">
        <v>90004</v>
      </c>
      <c r="C12" s="9" t="s">
        <v>4</v>
      </c>
    </row>
    <row r="13" spans="2:3" ht="21" customHeight="1" x14ac:dyDescent="0.3">
      <c r="B13" s="8">
        <v>90005</v>
      </c>
      <c r="C13" s="9" t="s">
        <v>5</v>
      </c>
    </row>
    <row r="14" spans="2:3" ht="21" customHeight="1" x14ac:dyDescent="0.3">
      <c r="B14" s="8">
        <v>90006</v>
      </c>
      <c r="C14" s="9" t="s">
        <v>6</v>
      </c>
    </row>
    <row r="15" spans="2:3" ht="21" customHeight="1" x14ac:dyDescent="0.3">
      <c r="B15" s="8">
        <v>90007</v>
      </c>
      <c r="C15" s="9" t="s">
        <v>7</v>
      </c>
    </row>
    <row r="16" spans="2:3" ht="21" customHeight="1" x14ac:dyDescent="0.3">
      <c r="B16" s="8">
        <v>90008</v>
      </c>
      <c r="C16" s="9" t="s">
        <v>8</v>
      </c>
    </row>
    <row r="17" spans="2:3" ht="21" customHeight="1" x14ac:dyDescent="0.3">
      <c r="B17" s="8">
        <v>90009</v>
      </c>
      <c r="C17" s="9" t="s">
        <v>9</v>
      </c>
    </row>
    <row r="18" spans="2:3" ht="21" customHeight="1" x14ac:dyDescent="0.3">
      <c r="B18" s="8">
        <v>90010</v>
      </c>
      <c r="C18" s="9" t="s">
        <v>10</v>
      </c>
    </row>
    <row r="19" spans="2:3" ht="21" customHeight="1" x14ac:dyDescent="0.3">
      <c r="B19" s="8">
        <v>90011</v>
      </c>
      <c r="C19" s="9" t="s">
        <v>11</v>
      </c>
    </row>
    <row r="20" spans="2:3" ht="21" customHeight="1" x14ac:dyDescent="0.3">
      <c r="B20" s="8">
        <v>90012</v>
      </c>
      <c r="C20" s="9" t="s">
        <v>12</v>
      </c>
    </row>
    <row r="21" spans="2:3" ht="21" customHeight="1" x14ac:dyDescent="0.3">
      <c r="B21" s="8">
        <v>90013</v>
      </c>
      <c r="C21" s="9" t="s">
        <v>13</v>
      </c>
    </row>
    <row r="22" spans="2:3" ht="21" customHeight="1" x14ac:dyDescent="0.3">
      <c r="B22" s="8">
        <v>90014</v>
      </c>
      <c r="C22" s="9" t="s">
        <v>14</v>
      </c>
    </row>
    <row r="23" spans="2:3" ht="21" customHeight="1" x14ac:dyDescent="0.3">
      <c r="B23" s="8">
        <v>90015</v>
      </c>
      <c r="C23" s="9" t="s">
        <v>15</v>
      </c>
    </row>
    <row r="24" spans="2:3" ht="21" customHeight="1" x14ac:dyDescent="0.3">
      <c r="B24" s="8">
        <v>90016</v>
      </c>
      <c r="C24" s="9" t="s">
        <v>16</v>
      </c>
    </row>
    <row r="25" spans="2:3" ht="21" customHeight="1" x14ac:dyDescent="0.3">
      <c r="B25" s="8">
        <v>90017</v>
      </c>
      <c r="C25" s="9" t="s">
        <v>17</v>
      </c>
    </row>
    <row r="26" spans="2:3" ht="21" customHeight="1" x14ac:dyDescent="0.3">
      <c r="B26" s="8">
        <v>90018</v>
      </c>
      <c r="C26" s="9" t="s">
        <v>18</v>
      </c>
    </row>
    <row r="27" spans="2:3" ht="21" customHeight="1" x14ac:dyDescent="0.3">
      <c r="B27" s="8">
        <v>90019</v>
      </c>
      <c r="C27" s="9" t="s">
        <v>19</v>
      </c>
    </row>
    <row r="28" spans="2:3" ht="21" customHeight="1" x14ac:dyDescent="0.3">
      <c r="B28" s="8">
        <v>90020</v>
      </c>
      <c r="C28" s="9" t="s">
        <v>20</v>
      </c>
    </row>
    <row r="29" spans="2:3" ht="21" customHeight="1" x14ac:dyDescent="0.3">
      <c r="B29" s="8">
        <v>90021</v>
      </c>
      <c r="C29" s="9" t="s">
        <v>21</v>
      </c>
    </row>
    <row r="30" spans="2:3" ht="21" customHeight="1" x14ac:dyDescent="0.3">
      <c r="B30" s="8">
        <v>90022</v>
      </c>
      <c r="C30" s="9" t="s">
        <v>22</v>
      </c>
    </row>
    <row r="31" spans="2:3" ht="21" customHeight="1" thickBot="1" x14ac:dyDescent="0.35">
      <c r="B31" s="46">
        <v>90023</v>
      </c>
      <c r="C31" s="47" t="s">
        <v>23</v>
      </c>
    </row>
  </sheetData>
  <phoneticPr fontId="2" type="noConversion"/>
  <printOptions horizontalCentered="1"/>
  <pageMargins left="0.7" right="0.7" top="0.75" bottom="0.75" header="0.3" footer="0.3"/>
  <pageSetup fitToHeight="0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40368F1F-5A8B-4BFB-8D1A-08CD44CB84E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8</vt:i4>
      </vt:variant>
    </vt:vector>
  </HeadingPairs>
  <TitlesOfParts>
    <vt:vector size="11" baseType="lpstr">
      <vt:lpstr>销售数据</vt:lpstr>
      <vt:lpstr>销售报表</vt:lpstr>
      <vt:lpstr>库存</vt:lpstr>
      <vt:lpstr>PN</vt:lpstr>
      <vt:lpstr>PN_Description</vt:lpstr>
      <vt:lpstr>库存!Print_Area</vt:lpstr>
      <vt:lpstr>销售报表!Print_Area</vt:lpstr>
      <vt:lpstr>销售数据!Print_Area</vt:lpstr>
      <vt:lpstr>库存!Print_Titles</vt:lpstr>
      <vt:lpstr>销售报表!Print_Titles</vt:lpstr>
      <vt:lpstr>销售数据!Print_Titles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/>
  <cp:lastModifiedBy/>
  <dcterms:created xsi:type="dcterms:W3CDTF">2017-09-28T14:06:11Z</dcterms:created>
  <dcterms:modified xsi:type="dcterms:W3CDTF">2017-09-28T14:06:14Z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TC031076419991</vt:lpwstr>
  </property>
</Properties>
</file>