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\Desktop\Excel模版合集\"/>
    </mc:Choice>
  </mc:AlternateContent>
  <bookViews>
    <workbookView xWindow="0" yWindow="0" windowWidth="20490" windowHeight="7425"/>
  </bookViews>
  <sheets>
    <sheet name="仪表板" sheetId="5" r:id="rId1"/>
    <sheet name="预算" sheetId="1" r:id="rId2"/>
    <sheet name="设置" sheetId="2" r:id="rId3"/>
    <sheet name="图表数据" sheetId="4" state="hidden" r:id="rId4"/>
  </sheets>
  <definedNames>
    <definedName name="BudgetName">设置!$B$1</definedName>
    <definedName name="display_long_period">CHOOSE(period,"1 月","2 月","3 月","4 月","5 月","6 月","7 月","8 月","9 月","10 月","11 月","12 月","Year")</definedName>
    <definedName name="displayed_expense_categories">OFFSET(StartCell,15-displayed_expense_categories_count+1,,displayed_expense_categories_count)</definedName>
    <definedName name="displayed_expense_categories_count">COUNTIF(图表数据!$B$7:$B$21,"&gt;"&amp; " ")</definedName>
    <definedName name="displayed_expense_categories_period_values">OFFSET(displayed_expense_categories,,period)</definedName>
    <definedName name="expense_categories">tblExpenseCategories[支出]</definedName>
    <definedName name="expense_category_list_01">CHOOSE(MATCH(INDEX(预算!$B$21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2">CHOOSE(MATCH(INDEX(预算!$B$30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3">CHOOSE(MATCH(INDEX(预算!$B$39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4">CHOOSE(MATCH(INDEX(预算!$B$48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5">CHOOSE(MATCH(INDEX(预算!$B$57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6">CHOOSE(MATCH(INDEX(预算!$B$64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7">CHOOSE(MATCH(INDEX(预算!$B$71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8">CHOOSE(MATCH(INDEX(预算!$B$78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9">CHOOSE(MATCH(INDEX(预算!$B$85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0">CHOOSE(MATCH(INDEX(预算!$B$92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1">CHOOSE(MATCH(INDEX(预算!$B$99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2">CHOOSE(MATCH(INDEX(预算!$B$106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3">CHOOSE(MATCH(INDEX(预算!$B$113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4">CHOOSE(MATCH(INDEX(预算!$B$120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5">CHOOSE(MATCH(INDEX(预算!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s_charity">tblExpensesCharity[慈善]</definedName>
    <definedName name="expenses_children">tblExpensesChildren[孩子]</definedName>
    <definedName name="expenses_daily_living">tblExpensesDailyLiving[日常生活]</definedName>
    <definedName name="expenses_education">tblExpensesEducation[教育]</definedName>
    <definedName name="expenses_entertainment">tblExpensesEntertainment[娱乐]</definedName>
    <definedName name="expenses_health">tblExpensesHealth[健康]</definedName>
    <definedName name="expenses_home">tblExpensesHome[住宅]</definedName>
    <definedName name="expenses_insurance">tblExpensesInsurance[保险]</definedName>
    <definedName name="expenses_misc">tblExpensesMisc[杂项]</definedName>
    <definedName name="expenses_obligations">tblExpensesObligations[债务]</definedName>
    <definedName name="expenses_pets">tblExpensesPets[宠物]</definedName>
    <definedName name="expenses_savings">tblExpensesSavings[储蓄]</definedName>
    <definedName name="expenses_subscriptions">tblExpensesSubscriptions[订阅]</definedName>
    <definedName name="expenses_transportation">tblExpensesTransportation[交通]</definedName>
    <definedName name="expenses_vacation">tblExpensesVacation[假期]</definedName>
    <definedName name="income">tblIncomeLineChoices[收入]</definedName>
    <definedName name="period">图表数据!$C$4</definedName>
    <definedName name="_xlnm.Print_Titles" localSheetId="1">预算!$1:$4</definedName>
    <definedName name="shpButtonDetails">仪表板!$M$33</definedName>
    <definedName name="StartCell">图表数据!$B$6</definedName>
    <definedName name="StartingBalance">预算!$C$5</definedName>
  </definedNames>
  <calcPr calcId="171027"/>
</workbook>
</file>

<file path=xl/calcChain.xml><?xml version="1.0" encoding="utf-8"?>
<calcChain xmlns="http://schemas.openxmlformats.org/spreadsheetml/2006/main">
  <c r="B131" i="1" l="1"/>
  <c r="B124" i="1"/>
  <c r="B117" i="1"/>
  <c r="B110" i="1"/>
  <c r="B103" i="1"/>
  <c r="B96" i="1"/>
  <c r="B89" i="1"/>
  <c r="B82" i="1"/>
  <c r="B75" i="1"/>
  <c r="B68" i="1"/>
  <c r="B61" i="1"/>
  <c r="B54" i="1"/>
  <c r="B45" i="1"/>
  <c r="B36" i="1"/>
  <c r="B27" i="1"/>
  <c r="B18" i="1"/>
  <c r="N1" i="5" l="1"/>
  <c r="B40" i="4" l="1"/>
  <c r="B38" i="4"/>
  <c r="O128" i="1" l="1"/>
  <c r="P128" i="1" s="1"/>
  <c r="O129" i="1"/>
  <c r="P129" i="1"/>
  <c r="O130" i="1"/>
  <c r="P130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O79" i="1" l="1"/>
  <c r="P79" i="1" s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37" i="4"/>
  <c r="B21" i="4"/>
  <c r="O102" i="1"/>
  <c r="P102" i="1"/>
  <c r="N21" i="4"/>
  <c r="M21" i="4"/>
  <c r="L21" i="4"/>
  <c r="K21" i="4"/>
  <c r="J21" i="4"/>
  <c r="I21" i="4"/>
  <c r="H21" i="4"/>
  <c r="G21" i="4"/>
  <c r="F21" i="4"/>
  <c r="E21" i="4"/>
  <c r="D21" i="4"/>
  <c r="C21" i="4"/>
  <c r="N20" i="4"/>
  <c r="M20" i="4"/>
  <c r="L20" i="4"/>
  <c r="K20" i="4"/>
  <c r="J20" i="4"/>
  <c r="I20" i="4"/>
  <c r="H20" i="4"/>
  <c r="G20" i="4"/>
  <c r="F20" i="4"/>
  <c r="E20" i="4"/>
  <c r="D20" i="4"/>
  <c r="C20" i="4"/>
  <c r="N19" i="4"/>
  <c r="M19" i="4"/>
  <c r="L19" i="4"/>
  <c r="K19" i="4"/>
  <c r="J19" i="4"/>
  <c r="I19" i="4"/>
  <c r="H19" i="4"/>
  <c r="G19" i="4"/>
  <c r="F19" i="4"/>
  <c r="E19" i="4"/>
  <c r="D19" i="4"/>
  <c r="C19" i="4"/>
  <c r="N18" i="4"/>
  <c r="M18" i="4"/>
  <c r="L18" i="4"/>
  <c r="K18" i="4"/>
  <c r="J18" i="4"/>
  <c r="I18" i="4"/>
  <c r="H18" i="4"/>
  <c r="G18" i="4"/>
  <c r="F18" i="4"/>
  <c r="E18" i="4"/>
  <c r="D18" i="4"/>
  <c r="C18" i="4"/>
  <c r="N17" i="4"/>
  <c r="M17" i="4"/>
  <c r="L17" i="4"/>
  <c r="K17" i="4"/>
  <c r="J17" i="4"/>
  <c r="I17" i="4"/>
  <c r="H17" i="4"/>
  <c r="G17" i="4"/>
  <c r="F17" i="4"/>
  <c r="E17" i="4"/>
  <c r="D17" i="4"/>
  <c r="C17" i="4"/>
  <c r="N16" i="4"/>
  <c r="M16" i="4"/>
  <c r="L16" i="4"/>
  <c r="K16" i="4"/>
  <c r="J16" i="4"/>
  <c r="I16" i="4"/>
  <c r="H16" i="4"/>
  <c r="G16" i="4"/>
  <c r="F16" i="4"/>
  <c r="E16" i="4"/>
  <c r="D16" i="4"/>
  <c r="C16" i="4"/>
  <c r="N15" i="4"/>
  <c r="M15" i="4"/>
  <c r="L15" i="4"/>
  <c r="K15" i="4"/>
  <c r="J15" i="4"/>
  <c r="I15" i="4"/>
  <c r="H15" i="4"/>
  <c r="G15" i="4"/>
  <c r="F15" i="4"/>
  <c r="E15" i="4"/>
  <c r="D15" i="4"/>
  <c r="C15" i="4"/>
  <c r="N14" i="4"/>
  <c r="M14" i="4"/>
  <c r="L14" i="4"/>
  <c r="K14" i="4"/>
  <c r="J14" i="4"/>
  <c r="I14" i="4"/>
  <c r="H14" i="4"/>
  <c r="G14" i="4"/>
  <c r="F14" i="4"/>
  <c r="E14" i="4"/>
  <c r="D14" i="4"/>
  <c r="C14" i="4"/>
  <c r="N13" i="4"/>
  <c r="M13" i="4"/>
  <c r="L13" i="4"/>
  <c r="K13" i="4"/>
  <c r="J13" i="4"/>
  <c r="I13" i="4"/>
  <c r="H13" i="4"/>
  <c r="G13" i="4"/>
  <c r="F13" i="4"/>
  <c r="E13" i="4"/>
  <c r="D13" i="4"/>
  <c r="C13" i="4"/>
  <c r="N12" i="4"/>
  <c r="M12" i="4"/>
  <c r="L12" i="4"/>
  <c r="K12" i="4"/>
  <c r="J12" i="4"/>
  <c r="I12" i="4"/>
  <c r="H12" i="4"/>
  <c r="G12" i="4"/>
  <c r="F12" i="4"/>
  <c r="E12" i="4"/>
  <c r="D12" i="4"/>
  <c r="C12" i="4"/>
  <c r="N11" i="4"/>
  <c r="M11" i="4"/>
  <c r="L11" i="4"/>
  <c r="K11" i="4"/>
  <c r="J11" i="4"/>
  <c r="I11" i="4"/>
  <c r="H11" i="4"/>
  <c r="G11" i="4"/>
  <c r="F11" i="4"/>
  <c r="E11" i="4"/>
  <c r="D11" i="4"/>
  <c r="C11" i="4"/>
  <c r="N10" i="4"/>
  <c r="M10" i="4"/>
  <c r="L10" i="4"/>
  <c r="K10" i="4"/>
  <c r="J10" i="4"/>
  <c r="I10" i="4"/>
  <c r="H10" i="4"/>
  <c r="G10" i="4"/>
  <c r="F10" i="4"/>
  <c r="E10" i="4"/>
  <c r="D10" i="4"/>
  <c r="C10" i="4"/>
  <c r="N9" i="4"/>
  <c r="M9" i="4"/>
  <c r="L9" i="4"/>
  <c r="K9" i="4"/>
  <c r="J9" i="4"/>
  <c r="I9" i="4"/>
  <c r="H9" i="4"/>
  <c r="G9" i="4"/>
  <c r="F9" i="4"/>
  <c r="E9" i="4"/>
  <c r="D9" i="4"/>
  <c r="C9" i="4"/>
  <c r="N8" i="4"/>
  <c r="M8" i="4"/>
  <c r="L8" i="4"/>
  <c r="K8" i="4"/>
  <c r="J8" i="4"/>
  <c r="I8" i="4"/>
  <c r="H8" i="4"/>
  <c r="G8" i="4"/>
  <c r="F8" i="4"/>
  <c r="E8" i="4"/>
  <c r="D8" i="4"/>
  <c r="C8" i="4"/>
  <c r="N7" i="4"/>
  <c r="M7" i="4"/>
  <c r="L7" i="4"/>
  <c r="K7" i="4"/>
  <c r="J7" i="4"/>
  <c r="I7" i="4"/>
  <c r="H7" i="4"/>
  <c r="G7" i="4"/>
  <c r="F7" i="4"/>
  <c r="E7" i="4"/>
  <c r="D7" i="4"/>
  <c r="C7" i="4"/>
  <c r="D6" i="1"/>
  <c r="E6" i="1"/>
  <c r="F6" i="1"/>
  <c r="G6" i="1"/>
  <c r="G8" i="1" s="1"/>
  <c r="H6" i="1"/>
  <c r="I6" i="1"/>
  <c r="J6" i="1"/>
  <c r="K6" i="1"/>
  <c r="K8" i="1" s="1"/>
  <c r="L6" i="1"/>
  <c r="M6" i="1"/>
  <c r="N6" i="1"/>
  <c r="D7" i="1"/>
  <c r="D8" i="1" s="1"/>
  <c r="E7" i="1"/>
  <c r="B39" i="4" s="1"/>
  <c r="F7" i="1"/>
  <c r="G7" i="1"/>
  <c r="H7" i="1"/>
  <c r="H8" i="1" s="1"/>
  <c r="I7" i="1"/>
  <c r="J7" i="1"/>
  <c r="K7" i="1"/>
  <c r="L7" i="1"/>
  <c r="L8" i="1" s="1"/>
  <c r="M7" i="1"/>
  <c r="M8" i="1" s="1"/>
  <c r="N7" i="1"/>
  <c r="C7" i="1"/>
  <c r="C6" i="1"/>
  <c r="C9" i="1" s="1"/>
  <c r="D9" i="1" s="1"/>
  <c r="E9" i="1" s="1"/>
  <c r="F9" i="1" s="1"/>
  <c r="G9" i="1" s="1"/>
  <c r="H9" i="1" s="1"/>
  <c r="I9" i="1" s="1"/>
  <c r="J9" i="1" s="1"/>
  <c r="K9" i="1" s="1"/>
  <c r="L9" i="1" s="1"/>
  <c r="M9" i="1" s="1"/>
  <c r="N9" i="1" s="1"/>
  <c r="C38" i="4"/>
  <c r="A3" i="5" s="1"/>
  <c r="N124" i="1"/>
  <c r="M124" i="1"/>
  <c r="L124" i="1"/>
  <c r="K124" i="1"/>
  <c r="J124" i="1"/>
  <c r="I124" i="1"/>
  <c r="H124" i="1"/>
  <c r="G124" i="1"/>
  <c r="F124" i="1"/>
  <c r="E124" i="1"/>
  <c r="D124" i="1"/>
  <c r="C124" i="1"/>
  <c r="O123" i="1"/>
  <c r="P123" i="1" s="1"/>
  <c r="O122" i="1"/>
  <c r="P122" i="1" s="1"/>
  <c r="P8" i="4" s="1"/>
  <c r="O121" i="1"/>
  <c r="P121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O116" i="1"/>
  <c r="P116" i="1" s="1"/>
  <c r="O115" i="1"/>
  <c r="P115" i="1"/>
  <c r="O114" i="1"/>
  <c r="P114" i="1" s="1"/>
  <c r="P9" i="4" s="1"/>
  <c r="N110" i="1"/>
  <c r="M110" i="1"/>
  <c r="L110" i="1"/>
  <c r="K110" i="1"/>
  <c r="J110" i="1"/>
  <c r="I110" i="1"/>
  <c r="H110" i="1"/>
  <c r="G110" i="1"/>
  <c r="F110" i="1"/>
  <c r="E110" i="1"/>
  <c r="D110" i="1"/>
  <c r="C110" i="1"/>
  <c r="O109" i="1"/>
  <c r="P109" i="1" s="1"/>
  <c r="O108" i="1"/>
  <c r="P108" i="1"/>
  <c r="O107" i="1"/>
  <c r="P107" i="1" s="1"/>
  <c r="P10" i="4" s="1"/>
  <c r="N103" i="1"/>
  <c r="M103" i="1"/>
  <c r="L103" i="1"/>
  <c r="K103" i="1"/>
  <c r="J103" i="1"/>
  <c r="I103" i="1"/>
  <c r="H103" i="1"/>
  <c r="G103" i="1"/>
  <c r="F103" i="1"/>
  <c r="E103" i="1"/>
  <c r="D103" i="1"/>
  <c r="C103" i="1"/>
  <c r="O101" i="1"/>
  <c r="P101" i="1"/>
  <c r="O100" i="1"/>
  <c r="P100" i="1" s="1"/>
  <c r="P11" i="4" s="1"/>
  <c r="N96" i="1"/>
  <c r="M96" i="1"/>
  <c r="L96" i="1"/>
  <c r="K96" i="1"/>
  <c r="J96" i="1"/>
  <c r="I96" i="1"/>
  <c r="H96" i="1"/>
  <c r="G96" i="1"/>
  <c r="F96" i="1"/>
  <c r="E96" i="1"/>
  <c r="D96" i="1"/>
  <c r="C96" i="1"/>
  <c r="O95" i="1"/>
  <c r="P95" i="1"/>
  <c r="O94" i="1"/>
  <c r="P94" i="1" s="1"/>
  <c r="P12" i="4" s="1"/>
  <c r="O93" i="1"/>
  <c r="N89" i="1"/>
  <c r="M89" i="1"/>
  <c r="L89" i="1"/>
  <c r="K89" i="1"/>
  <c r="J89" i="1"/>
  <c r="I89" i="1"/>
  <c r="H89" i="1"/>
  <c r="G89" i="1"/>
  <c r="F89" i="1"/>
  <c r="E89" i="1"/>
  <c r="D89" i="1"/>
  <c r="C89" i="1"/>
  <c r="O88" i="1"/>
  <c r="P88" i="1" s="1"/>
  <c r="O87" i="1"/>
  <c r="P87" i="1"/>
  <c r="O86" i="1"/>
  <c r="P86" i="1" s="1"/>
  <c r="N82" i="1"/>
  <c r="M82" i="1"/>
  <c r="L82" i="1"/>
  <c r="K82" i="1"/>
  <c r="J82" i="1"/>
  <c r="I82" i="1"/>
  <c r="H82" i="1"/>
  <c r="G82" i="1"/>
  <c r="F82" i="1"/>
  <c r="E82" i="1"/>
  <c r="D82" i="1"/>
  <c r="C82" i="1"/>
  <c r="O81" i="1"/>
  <c r="P81" i="1"/>
  <c r="O80" i="1"/>
  <c r="P80" i="1" s="1"/>
  <c r="N75" i="1"/>
  <c r="M75" i="1"/>
  <c r="L75" i="1"/>
  <c r="K75" i="1"/>
  <c r="J75" i="1"/>
  <c r="I75" i="1"/>
  <c r="H75" i="1"/>
  <c r="G75" i="1"/>
  <c r="F75" i="1"/>
  <c r="E75" i="1"/>
  <c r="D75" i="1"/>
  <c r="C75" i="1"/>
  <c r="O74" i="1"/>
  <c r="P74" i="1"/>
  <c r="O73" i="1"/>
  <c r="P73" i="1" s="1"/>
  <c r="O72" i="1"/>
  <c r="N68" i="1"/>
  <c r="M68" i="1"/>
  <c r="L68" i="1"/>
  <c r="K68" i="1"/>
  <c r="J68" i="1"/>
  <c r="I68" i="1"/>
  <c r="H68" i="1"/>
  <c r="G68" i="1"/>
  <c r="F68" i="1"/>
  <c r="E68" i="1"/>
  <c r="D68" i="1"/>
  <c r="C68" i="1"/>
  <c r="O67" i="1"/>
  <c r="P67" i="1"/>
  <c r="O66" i="1"/>
  <c r="P66" i="1" s="1"/>
  <c r="P16" i="4" s="1"/>
  <c r="O65" i="1"/>
  <c r="N61" i="1"/>
  <c r="M61" i="1"/>
  <c r="L61" i="1"/>
  <c r="K61" i="1"/>
  <c r="J61" i="1"/>
  <c r="I61" i="1"/>
  <c r="H61" i="1"/>
  <c r="G61" i="1"/>
  <c r="F61" i="1"/>
  <c r="E61" i="1"/>
  <c r="D61" i="1"/>
  <c r="C61" i="1"/>
  <c r="O60" i="1"/>
  <c r="P60" i="1" s="1"/>
  <c r="O59" i="1"/>
  <c r="P59" i="1"/>
  <c r="O58" i="1"/>
  <c r="O61" i="1" s="1"/>
  <c r="P61" i="1" s="1"/>
  <c r="O32" i="1"/>
  <c r="P32" i="1" s="1"/>
  <c r="O35" i="1"/>
  <c r="P35" i="1"/>
  <c r="J45" i="1"/>
  <c r="O41" i="1"/>
  <c r="P41" i="1" s="1"/>
  <c r="N54" i="1"/>
  <c r="M54" i="1"/>
  <c r="L54" i="1"/>
  <c r="K54" i="1"/>
  <c r="J54" i="1"/>
  <c r="I54" i="1"/>
  <c r="H54" i="1"/>
  <c r="G54" i="1"/>
  <c r="F54" i="1"/>
  <c r="E54" i="1"/>
  <c r="D54" i="1"/>
  <c r="C54" i="1"/>
  <c r="O53" i="1"/>
  <c r="P53" i="1" s="1"/>
  <c r="O52" i="1"/>
  <c r="P52" i="1" s="1"/>
  <c r="O51" i="1"/>
  <c r="P51" i="1" s="1"/>
  <c r="O50" i="1"/>
  <c r="P50" i="1" s="1"/>
  <c r="O49" i="1"/>
  <c r="P49" i="1" s="1"/>
  <c r="P18" i="4" s="1"/>
  <c r="N45" i="1"/>
  <c r="M45" i="1"/>
  <c r="L45" i="1"/>
  <c r="K45" i="1"/>
  <c r="I45" i="1"/>
  <c r="H45" i="1"/>
  <c r="G45" i="1"/>
  <c r="F45" i="1"/>
  <c r="E45" i="1"/>
  <c r="D45" i="1"/>
  <c r="C45" i="1"/>
  <c r="O44" i="1"/>
  <c r="P44" i="1" s="1"/>
  <c r="O43" i="1"/>
  <c r="P43" i="1" s="1"/>
  <c r="O42" i="1"/>
  <c r="P42" i="1" s="1"/>
  <c r="N36" i="1"/>
  <c r="L36" i="1"/>
  <c r="K36" i="1"/>
  <c r="J36" i="1"/>
  <c r="I36" i="1"/>
  <c r="H36" i="1"/>
  <c r="G36" i="1"/>
  <c r="F36" i="1"/>
  <c r="E36" i="1"/>
  <c r="D36" i="1"/>
  <c r="C36" i="1"/>
  <c r="O34" i="1"/>
  <c r="P34" i="1" s="1"/>
  <c r="O33" i="1"/>
  <c r="P33" i="1"/>
  <c r="O31" i="1"/>
  <c r="O36" i="1" s="1"/>
  <c r="P36" i="1" s="1"/>
  <c r="N27" i="1"/>
  <c r="M27" i="1"/>
  <c r="L27" i="1"/>
  <c r="K27" i="1"/>
  <c r="J27" i="1"/>
  <c r="I27" i="1"/>
  <c r="H27" i="1"/>
  <c r="G27" i="1"/>
  <c r="F27" i="1"/>
  <c r="E27" i="1"/>
  <c r="D27" i="1"/>
  <c r="C27" i="1"/>
  <c r="O26" i="1"/>
  <c r="P26" i="1" s="1"/>
  <c r="O25" i="1"/>
  <c r="P25" i="1" s="1"/>
  <c r="O24" i="1"/>
  <c r="P24" i="1" s="1"/>
  <c r="O23" i="1"/>
  <c r="P23" i="1" s="1"/>
  <c r="O22" i="1"/>
  <c r="N18" i="1"/>
  <c r="L18" i="1"/>
  <c r="K18" i="1"/>
  <c r="J18" i="1"/>
  <c r="I18" i="1"/>
  <c r="H18" i="1"/>
  <c r="G18" i="1"/>
  <c r="F18" i="1"/>
  <c r="E18" i="1"/>
  <c r="D18" i="1"/>
  <c r="C18" i="1"/>
  <c r="M18" i="1"/>
  <c r="O13" i="1"/>
  <c r="P13" i="1"/>
  <c r="O14" i="1"/>
  <c r="P14" i="1" s="1"/>
  <c r="O15" i="1"/>
  <c r="P15" i="1"/>
  <c r="O16" i="1"/>
  <c r="P16" i="1" s="1"/>
  <c r="O17" i="1"/>
  <c r="P17" i="1"/>
  <c r="C39" i="4"/>
  <c r="A7" i="5" s="1"/>
  <c r="J8" i="1"/>
  <c r="J28" i="4" s="1"/>
  <c r="F8" i="1"/>
  <c r="F28" i="4" s="1"/>
  <c r="O15" i="4"/>
  <c r="E8" i="1"/>
  <c r="O12" i="4"/>
  <c r="O9" i="4"/>
  <c r="O20" i="4"/>
  <c r="O7" i="4"/>
  <c r="N8" i="1"/>
  <c r="O11" i="4"/>
  <c r="O8" i="4"/>
  <c r="O10" i="4"/>
  <c r="I8" i="1"/>
  <c r="P7" i="4"/>
  <c r="O82" i="1"/>
  <c r="P82" i="1" s="1"/>
  <c r="O68" i="1"/>
  <c r="P68" i="1" s="1"/>
  <c r="C8" i="1"/>
  <c r="C26" i="4" s="1"/>
  <c r="O103" i="1"/>
  <c r="P103" i="1" s="1"/>
  <c r="P93" i="1"/>
  <c r="P72" i="1"/>
  <c r="P15" i="4" s="1"/>
  <c r="P65" i="1"/>
  <c r="M36" i="1"/>
  <c r="O40" i="1"/>
  <c r="O19" i="4" s="1"/>
  <c r="P31" i="1"/>
  <c r="P20" i="4" s="1"/>
  <c r="P22" i="1"/>
  <c r="P21" i="4" s="1"/>
  <c r="O18" i="1"/>
  <c r="P18" i="1" s="1"/>
  <c r="C29" i="4"/>
  <c r="I28" i="4"/>
  <c r="I29" i="4"/>
  <c r="E28" i="4"/>
  <c r="E29" i="4"/>
  <c r="F29" i="4"/>
  <c r="N28" i="4"/>
  <c r="N29" i="4"/>
  <c r="D40" i="4"/>
  <c r="C40" i="4"/>
  <c r="O7" i="1"/>
  <c r="P7" i="1" s="1"/>
  <c r="P40" i="1"/>
  <c r="P13" i="4" l="1"/>
  <c r="L29" i="4"/>
  <c r="L28" i="4"/>
  <c r="H28" i="4"/>
  <c r="H29" i="4"/>
  <c r="D28" i="4"/>
  <c r="D29" i="4"/>
  <c r="I26" i="4"/>
  <c r="M26" i="4"/>
  <c r="K26" i="4"/>
  <c r="K29" i="4"/>
  <c r="K28" i="4"/>
  <c r="G29" i="4"/>
  <c r="G28" i="4"/>
  <c r="M29" i="4"/>
  <c r="M28" i="4"/>
  <c r="P19" i="4"/>
  <c r="P14" i="4"/>
  <c r="D26" i="4"/>
  <c r="F26" i="4"/>
  <c r="H26" i="4"/>
  <c r="C28" i="4"/>
  <c r="O110" i="1"/>
  <c r="P110" i="1" s="1"/>
  <c r="O96" i="1"/>
  <c r="P96" i="1" s="1"/>
  <c r="O6" i="1"/>
  <c r="O89" i="1"/>
  <c r="P89" i="1" s="1"/>
  <c r="O117" i="1"/>
  <c r="P117" i="1" s="1"/>
  <c r="O75" i="1"/>
  <c r="P75" i="1" s="1"/>
  <c r="O16" i="4"/>
  <c r="O45" i="1"/>
  <c r="P45" i="1" s="1"/>
  <c r="J26" i="4"/>
  <c r="L26" i="4"/>
  <c r="N26" i="4"/>
  <c r="J29" i="4"/>
  <c r="O27" i="1"/>
  <c r="P27" i="1" s="1"/>
  <c r="O21" i="4"/>
  <c r="O18" i="4"/>
  <c r="O17" i="4"/>
  <c r="E26" i="4"/>
  <c r="G26" i="4"/>
  <c r="O54" i="1"/>
  <c r="P54" i="1" s="1"/>
  <c r="P58" i="1"/>
  <c r="P17" i="4" s="1"/>
  <c r="O124" i="1"/>
  <c r="P124" i="1" s="1"/>
  <c r="O13" i="4"/>
  <c r="O14" i="4"/>
  <c r="A11" i="5"/>
  <c r="P6" i="1" l="1"/>
  <c r="O8" i="1"/>
  <c r="O29" i="4" l="1"/>
  <c r="O28" i="4"/>
  <c r="P8" i="1"/>
  <c r="O26" i="4"/>
</calcChain>
</file>

<file path=xl/sharedStrings.xml><?xml version="1.0" encoding="utf-8"?>
<sst xmlns="http://schemas.openxmlformats.org/spreadsheetml/2006/main" count="243" uniqueCount="135">
  <si>
    <t xml:space="preserve"> </t>
  </si>
  <si>
    <t>*** 此工作表应保持为隐藏状态 ***</t>
  </si>
  <si>
    <t>期间</t>
  </si>
  <si>
    <t>累计现金流</t>
  </si>
  <si>
    <t>年正现金流</t>
  </si>
  <si>
    <t>年负现金流</t>
  </si>
  <si>
    <t>1 月</t>
  </si>
  <si>
    <t>2 月</t>
  </si>
  <si>
    <t>3 月</t>
  </si>
  <si>
    <t>4 月</t>
  </si>
  <si>
    <t>5 月</t>
  </si>
  <si>
    <t>6 月</t>
  </si>
  <si>
    <t>7 月</t>
  </si>
  <si>
    <t>8 月</t>
  </si>
  <si>
    <t>9 月</t>
  </si>
  <si>
    <t>10 月</t>
  </si>
  <si>
    <t>11 月</t>
  </si>
  <si>
    <t>12 月</t>
  </si>
  <si>
    <t>年</t>
  </si>
  <si>
    <t>平均</t>
  </si>
  <si>
    <t>收入</t>
  </si>
  <si>
    <t>工资和小费</t>
  </si>
  <si>
    <t>利息收入</t>
  </si>
  <si>
    <t>红利</t>
  </si>
  <si>
    <t>收到的礼品</t>
  </si>
  <si>
    <t>还款/退款</t>
  </si>
  <si>
    <t>从储蓄转帐</t>
  </si>
  <si>
    <t>其他</t>
  </si>
  <si>
    <t>支出</t>
  </si>
  <si>
    <t>住宅</t>
  </si>
  <si>
    <t>日常生活</t>
  </si>
  <si>
    <t>孩子</t>
  </si>
  <si>
    <t>交通</t>
  </si>
  <si>
    <t>健康</t>
  </si>
  <si>
    <t>保险</t>
  </si>
  <si>
    <t>教育</t>
  </si>
  <si>
    <t>慈善</t>
  </si>
  <si>
    <t>储蓄</t>
  </si>
  <si>
    <t>债务</t>
  </si>
  <si>
    <t>娱乐</t>
  </si>
  <si>
    <t>宠物</t>
  </si>
  <si>
    <t>订阅</t>
  </si>
  <si>
    <t>假期</t>
  </si>
  <si>
    <t>杂项</t>
  </si>
  <si>
    <t>押金/租金</t>
  </si>
  <si>
    <t>电费</t>
  </si>
  <si>
    <t>燃气/燃油</t>
  </si>
  <si>
    <t>水费/污水处理费</t>
  </si>
  <si>
    <t>电话</t>
  </si>
  <si>
    <t>有线/卫星电视</t>
  </si>
  <si>
    <t>网费</t>
  </si>
  <si>
    <t>家电</t>
  </si>
  <si>
    <t>草坪/花园</t>
  </si>
  <si>
    <t>住宅用品</t>
  </si>
  <si>
    <t>维修</t>
  </si>
  <si>
    <t>改良</t>
  </si>
  <si>
    <t>日用杂货</t>
  </si>
  <si>
    <t>个人用品</t>
  </si>
  <si>
    <t>服饰</t>
  </si>
  <si>
    <t>清洁服务</t>
  </si>
  <si>
    <t>在外就餐</t>
  </si>
  <si>
    <t>干洗</t>
  </si>
  <si>
    <t>美容/理发</t>
  </si>
  <si>
    <t>医疗</t>
  </si>
  <si>
    <t>学费</t>
  </si>
  <si>
    <t>学校午餐</t>
  </si>
  <si>
    <t>学校用品</t>
  </si>
  <si>
    <t>婴儿照顾</t>
  </si>
  <si>
    <t>玩具/游戏</t>
  </si>
  <si>
    <t>交通工具费用</t>
  </si>
  <si>
    <t>医生/牙医</t>
  </si>
  <si>
    <t>汽车</t>
  </si>
  <si>
    <t>燃料</t>
  </si>
  <si>
    <t>药品</t>
  </si>
  <si>
    <t>公共汽车/出租车/火车票</t>
  </si>
  <si>
    <t>健康俱乐部会费</t>
  </si>
  <si>
    <t>住宅/租赁</t>
  </si>
  <si>
    <t>修理</t>
  </si>
  <si>
    <t>紧急</t>
  </si>
  <si>
    <t>生活</t>
  </si>
  <si>
    <t>登记/许可证</t>
  </si>
  <si>
    <t>书籍</t>
  </si>
  <si>
    <t>音乐课</t>
  </si>
  <si>
    <t>赠予的礼品</t>
  </si>
  <si>
    <t>慈善捐赠</t>
  </si>
  <si>
    <t>宗教捐赠</t>
  </si>
  <si>
    <t>应急基金</t>
  </si>
  <si>
    <t>转帐储蓄</t>
  </si>
  <si>
    <t>退休（401k，ira）</t>
  </si>
  <si>
    <t>投资</t>
  </si>
  <si>
    <t>大学</t>
  </si>
  <si>
    <t>助学贷款</t>
  </si>
  <si>
    <t>其他贷款</t>
  </si>
  <si>
    <t>信用卡 1</t>
  </si>
  <si>
    <t>信用卡 2</t>
  </si>
  <si>
    <t>信用卡 3</t>
  </si>
  <si>
    <t>离婚赡养费/子女抚养费</t>
  </si>
  <si>
    <t>联邦税</t>
  </si>
  <si>
    <t>物业税</t>
  </si>
  <si>
    <t>省市自治区/地方税</t>
  </si>
  <si>
    <t>管理费</t>
  </si>
  <si>
    <t>法律费用</t>
  </si>
  <si>
    <t>录像/DVD</t>
  </si>
  <si>
    <t>音乐</t>
  </si>
  <si>
    <t>游戏</t>
  </si>
  <si>
    <t>租赁</t>
  </si>
  <si>
    <t>电影/戏剧</t>
  </si>
  <si>
    <t>音乐会/演奏</t>
  </si>
  <si>
    <t>业余爱好</t>
  </si>
  <si>
    <t>胶卷/照片</t>
  </si>
  <si>
    <t>运动</t>
  </si>
  <si>
    <t>户外消遣</t>
  </si>
  <si>
    <t>玩具/小玩意</t>
  </si>
  <si>
    <t>食品</t>
  </si>
  <si>
    <t>玩具/用品</t>
  </si>
  <si>
    <t>报纸</t>
  </si>
  <si>
    <t>杂志</t>
  </si>
  <si>
    <t>会费</t>
  </si>
  <si>
    <t>俱乐部会员</t>
  </si>
  <si>
    <t>旅游</t>
  </si>
  <si>
    <t>住宿</t>
  </si>
  <si>
    <t>租车</t>
  </si>
  <si>
    <t>银行手续费</t>
  </si>
  <si>
    <t>邮资</t>
  </si>
  <si>
    <t>孙荷佑一家 2012 年</t>
  </si>
  <si>
    <t>期初结余</t>
  </si>
  <si>
    <t>总收入</t>
  </si>
  <si>
    <t>总支出</t>
  </si>
  <si>
    <t>净收入</t>
  </si>
  <si>
    <t>总现金流</t>
  </si>
  <si>
    <t>工资和消费</t>
  </si>
  <si>
    <t>燃油</t>
  </si>
  <si>
    <t>退休（401k，IRA）</t>
  </si>
  <si>
    <t>现金流量</t>
  </si>
  <si>
    <t>1 月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</si>
</sst>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¥&quot;#,##0"/>
  </numFmts>
  <fonts count="13">
    <font>
      <sz val="9"/>
      <color theme="1"/>
      <name val="Century Gothic"/>
      <family val="2"/>
      <scheme val="minor"/>
    </font>
    <font>
      <b/>
      <sz val="12"/>
      <color theme="5"/>
      <name val="Euphemia"/>
      <family val="2"/>
      <scheme val="major"/>
    </font>
    <font>
      <b/>
      <sz val="15"/>
      <color theme="4" tint="-0.249977111117893"/>
      <name val="Euphemia"/>
      <family val="2"/>
      <scheme val="major"/>
    </font>
    <font>
      <b/>
      <sz val="32"/>
      <color theme="4" tint="-0.249977111117893"/>
      <name val="Century Gothic"/>
      <family val="2"/>
      <scheme val="minor"/>
    </font>
    <font>
      <sz val="9"/>
      <name val="Century Gothic"/>
      <family val="3"/>
      <charset val="134"/>
      <scheme val="minor"/>
    </font>
    <font>
      <sz val="10"/>
      <color theme="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15"/>
      <color theme="4" tint="-0.249977111117893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b/>
      <sz val="12"/>
      <color theme="5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28"/>
      <color theme="4" tint="-0.249977111117893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lightGrid">
        <fgColor theme="4" tint="0.59996337778862885"/>
        <bgColor theme="4" tint="0.79998168889431442"/>
      </patternFill>
    </fill>
    <fill>
      <patternFill patternType="solid">
        <fgColor theme="3"/>
        <bgColor auto="1"/>
      </patternFill>
    </fill>
    <fill>
      <patternFill patternType="solid">
        <fgColor theme="5"/>
        <bgColor indexed="64"/>
      </patternFill>
    </fill>
    <fill>
      <patternFill patternType="solid">
        <fgColor theme="0"/>
        <bgColor auto="1"/>
      </patternFill>
    </fill>
    <fill>
      <patternFill patternType="lightGrid">
        <fgColor theme="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auto="1"/>
      </patternFill>
    </fill>
    <fill>
      <patternFill patternType="solid">
        <fgColor theme="2" tint="-0.249977111117893"/>
        <bgColor theme="2"/>
      </patternFill>
    </fill>
  </fills>
  <borders count="2">
    <border>
      <left/>
      <right/>
      <top/>
      <bottom/>
      <diagonal/>
    </border>
    <border>
      <left/>
      <right/>
      <top style="thick">
        <color theme="0"/>
      </top>
      <bottom/>
      <diagonal/>
    </border>
  </borders>
  <cellStyleXfs count="4">
    <xf numFmtId="0" fontId="0" fillId="0" borderId="0">
      <alignment vertical="center"/>
    </xf>
    <xf numFmtId="0" fontId="1" fillId="7" borderId="1">
      <alignment horizontal="right" vertical="center" indent="1"/>
    </xf>
    <xf numFmtId="0" fontId="2" fillId="0" borderId="0">
      <alignment vertical="center"/>
    </xf>
    <xf numFmtId="0" fontId="3" fillId="0" borderId="0">
      <alignment horizontal="right"/>
    </xf>
  </cellStyleXfs>
  <cellXfs count="38">
    <xf numFmtId="0" fontId="0" fillId="0" borderId="0" xfId="0">
      <alignment vertical="center"/>
    </xf>
    <xf numFmtId="0" fontId="5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right" vertical="center"/>
    </xf>
    <xf numFmtId="0" fontId="7" fillId="0" borderId="0" xfId="0" applyFont="1">
      <alignment vertical="center"/>
    </xf>
    <xf numFmtId="0" fontId="7" fillId="3" borderId="0" xfId="0" applyFont="1" applyFill="1">
      <alignment vertical="center"/>
    </xf>
    <xf numFmtId="0" fontId="8" fillId="0" borderId="0" xfId="2" applyFont="1">
      <alignment vertical="center"/>
    </xf>
    <xf numFmtId="0" fontId="7" fillId="4" borderId="0" xfId="0" applyFont="1" applyFill="1">
      <alignment vertical="center"/>
    </xf>
    <xf numFmtId="0" fontId="7" fillId="2" borderId="0" xfId="0" applyFont="1" applyFill="1">
      <alignment vertical="center"/>
    </xf>
    <xf numFmtId="0" fontId="9" fillId="4" borderId="0" xfId="0" applyFont="1" applyFill="1" applyAlignment="1">
      <alignment horizontal="right" vertical="center" indent="1"/>
    </xf>
    <xf numFmtId="0" fontId="9" fillId="5" borderId="0" xfId="0" applyFont="1" applyFill="1" applyAlignment="1">
      <alignment horizontal="right" vertical="center" indent="1"/>
    </xf>
    <xf numFmtId="0" fontId="7" fillId="9" borderId="0" xfId="0" applyFont="1" applyFill="1">
      <alignment vertical="center"/>
    </xf>
    <xf numFmtId="0" fontId="7" fillId="0" borderId="0" xfId="0" applyFont="1" applyAlignment="1">
      <alignment horizontal="right" vertical="center" indent="1"/>
    </xf>
    <xf numFmtId="0" fontId="7" fillId="6" borderId="0" xfId="0" applyFont="1" applyFill="1" applyAlignment="1">
      <alignment horizontal="right" vertical="center" indent="1"/>
    </xf>
    <xf numFmtId="0" fontId="7" fillId="10" borderId="0" xfId="0" applyFont="1" applyFill="1">
      <alignment vertical="center"/>
    </xf>
    <xf numFmtId="0" fontId="7" fillId="0" borderId="0" xfId="0" applyFont="1" applyFill="1" applyBorder="1" applyAlignment="1">
      <alignment horizontal="right" vertical="center" indent="1"/>
    </xf>
    <xf numFmtId="1" fontId="7" fillId="0" borderId="0" xfId="0" applyNumberFormat="1" applyFont="1" applyFill="1" applyBorder="1" applyAlignment="1">
      <alignment horizontal="right" vertical="center" indent="1"/>
    </xf>
    <xf numFmtId="1" fontId="7" fillId="8" borderId="0" xfId="0" applyNumberFormat="1" applyFont="1" applyFill="1" applyBorder="1" applyAlignment="1">
      <alignment horizontal="right" vertical="center" indent="1"/>
    </xf>
    <xf numFmtId="1" fontId="7" fillId="0" borderId="0" xfId="0" applyNumberFormat="1" applyFont="1">
      <alignment vertical="center"/>
    </xf>
    <xf numFmtId="1" fontId="7" fillId="10" borderId="0" xfId="0" applyNumberFormat="1" applyFont="1" applyFill="1">
      <alignment vertical="center"/>
    </xf>
    <xf numFmtId="0" fontId="10" fillId="7" borderId="1" xfId="1" applyFont="1" applyAlignment="1">
      <alignment horizontal="right" vertical="center" indent="2"/>
    </xf>
    <xf numFmtId="1" fontId="7" fillId="0" borderId="1" xfId="0" applyNumberFormat="1" applyFont="1" applyBorder="1">
      <alignment vertical="center"/>
    </xf>
    <xf numFmtId="1" fontId="7" fillId="10" borderId="1" xfId="0" applyNumberFormat="1" applyFont="1" applyFill="1" applyBorder="1">
      <alignment vertical="center"/>
    </xf>
    <xf numFmtId="1" fontId="7" fillId="10" borderId="0" xfId="0" applyNumberFormat="1" applyFont="1" applyFill="1" applyAlignment="1">
      <alignment horizontal="right" vertical="center" indent="1"/>
    </xf>
    <xf numFmtId="1" fontId="7" fillId="0" borderId="0" xfId="0" applyNumberFormat="1" applyFont="1" applyAlignment="1">
      <alignment horizontal="right" vertical="center" indent="1"/>
    </xf>
    <xf numFmtId="1" fontId="7" fillId="0" borderId="1" xfId="0" applyNumberFormat="1" applyFont="1" applyBorder="1" applyAlignment="1">
      <alignment horizontal="right" vertical="center" indent="1"/>
    </xf>
    <xf numFmtId="1" fontId="7" fillId="10" borderId="1" xfId="0" applyNumberFormat="1" applyFont="1" applyFill="1" applyBorder="1" applyAlignment="1">
      <alignment horizontal="right" vertical="center" indent="1"/>
    </xf>
    <xf numFmtId="0" fontId="6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7" fillId="0" borderId="0" xfId="0" applyFont="1" applyAlignment="1">
      <alignment horizontal="left" vertical="center" indent="3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horizontal="left" vertical="center" indent="1"/>
    </xf>
    <xf numFmtId="3" fontId="7" fillId="0" borderId="0" xfId="0" applyNumberFormat="1" applyFont="1">
      <alignment vertical="center"/>
    </xf>
    <xf numFmtId="176" fontId="7" fillId="0" borderId="0" xfId="0" applyNumberFormat="1" applyFont="1">
      <alignment vertical="center"/>
    </xf>
    <xf numFmtId="176" fontId="12" fillId="0" borderId="0" xfId="3" applyNumberFormat="1" applyFont="1">
      <alignment horizontal="right"/>
    </xf>
    <xf numFmtId="0" fontId="12" fillId="0" borderId="0" xfId="3" applyFont="1">
      <alignment horizontal="right"/>
    </xf>
    <xf numFmtId="0" fontId="7" fillId="0" borderId="0" xfId="0" applyFont="1" applyAlignment="1">
      <alignment horizontal="center" vertical="center"/>
    </xf>
  </cellXfs>
  <cellStyles count="4">
    <cellStyle name="Dashboard Labels" xfId="2"/>
    <cellStyle name="Dashboard Values" xfId="3"/>
    <cellStyle name="Table Title" xfId="1"/>
    <cellStyle name="常规" xfId="0" builtinId="0" customBuiltin="1"/>
  </cellStyles>
  <dxfs count="858"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solid">
          <fgColor indexed="64"/>
          <bgColor theme="2" tint="-0.249977111117893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  <fill>
        <patternFill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inor"/>
      </font>
      <fill>
        <patternFill patternType="lightGrid">
          <fgColor theme="2"/>
          <bgColor theme="0" tint="-4.9989318521683403E-2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fill>
        <patternFill patternType="lightGrid">
          <fgColor theme="2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strike val="0"/>
        <outline val="0"/>
        <shadow val="0"/>
        <u val="none"/>
        <vertAlign val="baseline"/>
        <name val="微软雅黑"/>
        <scheme val="none"/>
      </font>
    </dxf>
    <dxf>
      <font>
        <b/>
        <i val="0"/>
        <color theme="0"/>
      </font>
      <fill>
        <patternFill patternType="solid">
          <bgColor theme="5"/>
        </patternFill>
      </fill>
      <border>
        <bottom/>
      </border>
    </dxf>
    <dxf>
      <fill>
        <patternFill patternType="solid">
          <fgColor auto="1"/>
          <bgColor theme="0"/>
        </patternFill>
      </fill>
      <border>
        <horizontal style="thin">
          <color theme="4" tint="0.59996337778862885"/>
        </horizontal>
      </border>
    </dxf>
    <dxf>
      <font>
        <b/>
        <i val="0"/>
        <color theme="0"/>
      </font>
      <fill>
        <patternFill>
          <bgColor theme="5"/>
        </patternFill>
      </fill>
      <border>
        <bottom/>
      </border>
    </dxf>
    <dxf>
      <fill>
        <patternFill>
          <bgColor theme="4" tint="0.59996337778862885"/>
        </patternFill>
      </fill>
      <border>
        <horizontal style="thin">
          <color theme="4" tint="-0.24994659260841701"/>
        </horizontal>
      </border>
    </dxf>
    <dxf>
      <fill>
        <patternFill patternType="solid">
          <fgColor auto="1"/>
          <bgColor theme="2" tint="-9.9948118533890809E-2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solid">
          <fgColor theme="4"/>
          <bgColor theme="4"/>
        </patternFill>
      </fill>
      <border>
        <left/>
        <right/>
        <top/>
        <bottom style="thin">
          <color theme="4"/>
        </bottom>
        <vertical/>
      </border>
    </dxf>
    <dxf>
      <font>
        <color theme="3"/>
      </font>
      <border diagonalUp="0" diagonalDown="0">
        <left/>
        <right/>
        <top/>
        <bottom/>
        <vertical/>
        <horizontal/>
      </border>
    </dxf>
  </dxfs>
  <tableStyles count="3" defaultTableStyle="Budget Tables" defaultPivotStyle="PivotStyleMedium3">
    <tableStyle name="Budget Tables" pivot="0" count="4">
      <tableStyleElement type="wholeTable" dxfId="857"/>
      <tableStyleElement type="headerRow" dxfId="856"/>
      <tableStyleElement type="firstColumn" dxfId="855"/>
      <tableStyleElement type="firstRowStripe" dxfId="854"/>
    </tableStyle>
    <tableStyle name="Other Custom Table Style" pivot="0" count="2">
      <tableStyleElement type="wholeTable" dxfId="853"/>
      <tableStyleElement type="headerRow" dxfId="852"/>
    </tableStyle>
    <tableStyle name="Setup Tables" pivot="0" count="2">
      <tableStyleElement type="wholeTable" dxfId="851"/>
      <tableStyleElement type="headerRow" dxfId="850"/>
    </tableStyle>
  </tableStyles>
  <colors>
    <mruColors>
      <color rgb="FFD0D9D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52807192204405E-2"/>
          <c:y val="0.13836477987421383"/>
          <c:w val="0.92584758801701517"/>
          <c:h val="0.54652008121626305"/>
        </c:manualLayout>
      </c:layout>
      <c:lineChart>
        <c:grouping val="standard"/>
        <c:varyColors val="0"/>
        <c:ser>
          <c:idx val="0"/>
          <c:order val="0"/>
          <c:tx>
            <c:v>Cash Flow</c:v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图表数据!$C$6:$O$6</c:f>
              <c:strCache>
                <c:ptCount val="13"/>
                <c:pt idx="0">
                  <c:v>1 月</c:v>
                </c:pt>
                <c:pt idx="1">
                  <c:v>2 月</c:v>
                </c:pt>
                <c:pt idx="2">
                  <c:v>3 月</c:v>
                </c:pt>
                <c:pt idx="3">
                  <c:v>4 月</c:v>
                </c:pt>
                <c:pt idx="4">
                  <c:v>5 月</c:v>
                </c:pt>
                <c:pt idx="5">
                  <c:v>6 月</c:v>
                </c:pt>
                <c:pt idx="6">
                  <c:v>7 月</c:v>
                </c:pt>
                <c:pt idx="7">
                  <c:v>8 月</c:v>
                </c:pt>
                <c:pt idx="8">
                  <c:v>9 月</c:v>
                </c:pt>
                <c:pt idx="9">
                  <c:v>10 月</c:v>
                </c:pt>
                <c:pt idx="10">
                  <c:v>11 月</c:v>
                </c:pt>
                <c:pt idx="11">
                  <c:v>12 月</c:v>
                </c:pt>
                <c:pt idx="12">
                  <c:v>年</c:v>
                </c:pt>
              </c:strCache>
            </c:strRef>
          </c:cat>
          <c:val>
            <c:numRef>
              <c:f>预算!$C$8:$O$8</c:f>
              <c:numCache>
                <c:formatCode>0</c:formatCode>
                <c:ptCount val="13"/>
                <c:pt idx="0">
                  <c:v>-37140</c:v>
                </c:pt>
                <c:pt idx="1">
                  <c:v>37900</c:v>
                </c:pt>
                <c:pt idx="2">
                  <c:v>-19330</c:v>
                </c:pt>
                <c:pt idx="3">
                  <c:v>-18130</c:v>
                </c:pt>
                <c:pt idx="4">
                  <c:v>35320</c:v>
                </c:pt>
                <c:pt idx="5">
                  <c:v>-35930</c:v>
                </c:pt>
                <c:pt idx="6">
                  <c:v>-42430</c:v>
                </c:pt>
                <c:pt idx="7">
                  <c:v>11470</c:v>
                </c:pt>
                <c:pt idx="8">
                  <c:v>-19830</c:v>
                </c:pt>
                <c:pt idx="9">
                  <c:v>-19430</c:v>
                </c:pt>
                <c:pt idx="10">
                  <c:v>39420</c:v>
                </c:pt>
                <c:pt idx="11">
                  <c:v>-9580</c:v>
                </c:pt>
                <c:pt idx="12">
                  <c:v>-77690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B7-487E-8E96-8FF63929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106240"/>
        <c:axId val="310208736"/>
      </c:lineChart>
      <c:scatterChart>
        <c:scatterStyle val="lineMarker"/>
        <c:varyColors val="0"/>
        <c:ser>
          <c:idx val="1"/>
          <c:order val="1"/>
          <c:tx>
            <c:v>Positive Selected Period</c:v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chemeClr val="accent1"/>
              </a:solidFill>
              <a:ln>
                <a:noFill/>
              </a:ln>
            </c:spPr>
          </c:marker>
          <c:yVal>
            <c:numRef>
              <c:f>图表数据!$C$28:$O$28</c:f>
              <c:numCache>
                <c:formatCode>#,##0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B7-487E-8E96-8FF639297F0E}"/>
            </c:ext>
          </c:extLst>
        </c:ser>
        <c:ser>
          <c:idx val="2"/>
          <c:order val="2"/>
          <c:tx>
            <c:v>Negative Selected Period</c:v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yVal>
            <c:numRef>
              <c:f>图表数据!$C$29:$O$29</c:f>
              <c:numCache>
                <c:formatCode>#,##0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-19330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B7-487E-8E96-8FF63929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06240"/>
        <c:axId val="310208736"/>
      </c:scatterChart>
      <c:catAx>
        <c:axId val="31010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31750">
            <a:solidFill>
              <a:schemeClr val="bg1"/>
            </a:solidFill>
          </a:ln>
        </c:spPr>
        <c:txPr>
          <a:bodyPr/>
          <a:lstStyle/>
          <a:p>
            <a:pPr>
              <a:defRPr lang="ja-JP" sz="900" b="1" kern="0" spc="50" baseline="0">
                <a:solidFill>
                  <a:schemeClr val="bg1"/>
                </a:solidFill>
                <a:latin typeface="+mj-lt"/>
              </a:defRPr>
            </a:pPr>
            <a:endParaRPr lang="zh-CN"/>
          </a:p>
        </c:txPr>
        <c:crossAx val="310208736"/>
        <c:crosses val="autoZero"/>
        <c:auto val="1"/>
        <c:lblAlgn val="ctr"/>
        <c:lblOffset val="100"/>
        <c:noMultiLvlLbl val="0"/>
      </c:catAx>
      <c:valAx>
        <c:axId val="310208736"/>
        <c:scaling>
          <c:orientation val="minMax"/>
        </c:scaling>
        <c:delete val="1"/>
        <c:axPos val="l"/>
        <c:numFmt formatCode="&quot;$&quot;#,##0" sourceLinked="0"/>
        <c:majorTickMark val="out"/>
        <c:minorTickMark val="none"/>
        <c:tickLblPos val="nextTo"/>
        <c:crossAx val="3101062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615979002624671"/>
          <c:y val="4.3889317756849025E-2"/>
          <c:w val="0.64796955380577426"/>
          <c:h val="0.83170775221724735"/>
        </c:manualLayout>
      </c:layout>
      <c:barChart>
        <c:barDir val="bar"/>
        <c:grouping val="clustered"/>
        <c:varyColors val="0"/>
        <c:ser>
          <c:idx val="0"/>
          <c:order val="0"/>
          <c:tx>
            <c:v>Expenses</c:v>
          </c:tx>
          <c:spPr>
            <a:solidFill>
              <a:schemeClr val="accent1">
                <a:lumMod val="75000"/>
              </a:schemeClr>
            </a:solidFill>
          </c:spPr>
          <c:invertIfNegative val="0"/>
          <c:cat>
            <c:strRef>
              <c:f>[0]!displayed_expense_categories</c:f>
              <c:strCache>
                <c:ptCount val="10"/>
                <c:pt idx="0">
                  <c:v>债务</c:v>
                </c:pt>
                <c:pt idx="1">
                  <c:v>储蓄</c:v>
                </c:pt>
                <c:pt idx="2">
                  <c:v>慈善</c:v>
                </c:pt>
                <c:pt idx="3">
                  <c:v>教育</c:v>
                </c:pt>
                <c:pt idx="4">
                  <c:v>保险</c:v>
                </c:pt>
                <c:pt idx="5">
                  <c:v>健康</c:v>
                </c:pt>
                <c:pt idx="6">
                  <c:v>交通</c:v>
                </c:pt>
                <c:pt idx="7">
                  <c:v>孩子</c:v>
                </c:pt>
                <c:pt idx="8">
                  <c:v>日常生活</c:v>
                </c:pt>
                <c:pt idx="9">
                  <c:v>住宅</c:v>
                </c:pt>
              </c:strCache>
            </c:strRef>
          </c:cat>
          <c:val>
            <c:numRef>
              <c:f>[0]!displayed_expense_categories_period_values</c:f>
              <c:numCache>
                <c:formatCode>#,##0</c:formatCode>
                <c:ptCount val="10"/>
                <c:pt idx="0">
                  <c:v>2000</c:v>
                </c:pt>
                <c:pt idx="1">
                  <c:v>8000</c:v>
                </c:pt>
                <c:pt idx="2">
                  <c:v>1000</c:v>
                </c:pt>
                <c:pt idx="3">
                  <c:v>6250</c:v>
                </c:pt>
                <c:pt idx="4">
                  <c:v>9750</c:v>
                </c:pt>
                <c:pt idx="5">
                  <c:v>1750</c:v>
                </c:pt>
                <c:pt idx="6">
                  <c:v>9250</c:v>
                </c:pt>
                <c:pt idx="7">
                  <c:v>3500</c:v>
                </c:pt>
                <c:pt idx="8">
                  <c:v>5500</c:v>
                </c:pt>
                <c:pt idx="9">
                  <c:v>12330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6-412A-B001-FE7399089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1"/>
        <c:axId val="308925424"/>
        <c:axId val="308925984"/>
      </c:barChart>
      <c:catAx>
        <c:axId val="30892542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lang="ja-JP" sz="950" b="1" kern="0" spc="100" baseline="0">
                <a:solidFill>
                  <a:schemeClr val="tx2"/>
                </a:solidFill>
                <a:latin typeface="+mj-lt"/>
              </a:defRPr>
            </a:pPr>
            <a:endParaRPr lang="zh-CN"/>
          </a:p>
        </c:txPr>
        <c:crossAx val="308925984"/>
        <c:crosses val="autoZero"/>
        <c:auto val="1"/>
        <c:lblAlgn val="ctr"/>
        <c:lblOffset val="100"/>
        <c:noMultiLvlLbl val="0"/>
      </c:catAx>
      <c:valAx>
        <c:axId val="30892598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lang="ja-JP" sz="900" b="1" kern="0" spc="100" baseline="0">
                <a:solidFill>
                  <a:schemeClr val="tx2"/>
                </a:solidFill>
                <a:latin typeface="+mj-lt"/>
              </a:defRPr>
            </a:pPr>
            <a:endParaRPr lang="zh-CN"/>
          </a:p>
        </c:txPr>
        <c:crossAx val="308925424"/>
        <c:crosses val="autoZero"/>
        <c:crossBetween val="between"/>
      </c:valAx>
      <c:spPr>
        <a:gradFill>
          <a:gsLst>
            <a:gs pos="3000">
              <a:schemeClr val="bg1">
                <a:lumMod val="95000"/>
                <a:alpha val="40000"/>
              </a:schemeClr>
            </a:gs>
            <a:gs pos="100000">
              <a:schemeClr val="accent1">
                <a:lumMod val="100000"/>
                <a:alpha val="40000"/>
              </a:schemeClr>
            </a:gs>
          </a:gsLst>
          <a:lin ang="5400000" scaled="0"/>
        </a:gradFill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period" horiz="1" max="13" min="1" page="0" val="3"/>
</file>

<file path=xl/ctrlProps/ctrlProp2.xml><?xml version="1.0" encoding="utf-8"?>
<formControlPr xmlns="http://schemas.microsoft.com/office/spreadsheetml/2009/9/main" objectType="Scroll" dx="16" fmlaLink="period" horiz="1" max="13" min="1" page="0" val="3"/>
</file>

<file path=xl/ctrlProps/ctrlProp3.xml><?xml version="1.0" encoding="utf-8"?>
<formControlPr xmlns="http://schemas.microsoft.com/office/spreadsheetml/2009/9/main" objectType="Scroll" dx="16" fmlaLink="period" horiz="1" max="13" min="1" page="0" val="3"/>
</file>

<file path=xl/ctrlProps/ctrlProp4.xml><?xml version="1.0" encoding="utf-8"?>
<formControlPr xmlns="http://schemas.microsoft.com/office/spreadsheetml/2009/9/main" objectType="Scroll" dx="16" fmlaLink="period" horiz="1" max="13" min="1" page="0" val="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&#39044;&#31639;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hyperlink" Target="#&#35774;&#32622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20202;&#34920;&#26495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20202;&#34920;&#26495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104775</xdr:rowOff>
    </xdr:from>
    <xdr:to>
      <xdr:col>13</xdr:col>
      <xdr:colOff>609599</xdr:colOff>
      <xdr:row>23</xdr:row>
      <xdr:rowOff>57150</xdr:rowOff>
    </xdr:to>
    <xdr:graphicFrame macro="">
      <xdr:nvGraphicFramePr>
        <xdr:cNvPr id="13" name="年度现金流明细" descr="比较 12 个月的收入和支出的折线图。" title="现金流明细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16383</xdr:col>
          <xdr:colOff>0</xdr:colOff>
          <xdr:row>1048575</xdr:row>
          <xdr:rowOff>0</xdr:rowOff>
        </xdr:to>
        <xdr:sp macro="" textlink="">
          <xdr:nvSpPr>
            <xdr:cNvPr id="4101" name="月滚动" descr="单击可按月份循环浏览支出明细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333375</xdr:colOff>
      <xdr:row>2</xdr:row>
      <xdr:rowOff>47626</xdr:rowOff>
    </xdr:from>
    <xdr:to>
      <xdr:col>14</xdr:col>
      <xdr:colOff>238125</xdr:colOff>
      <xdr:row>16</xdr:row>
      <xdr:rowOff>57150</xdr:rowOff>
    </xdr:to>
    <xdr:graphicFrame macro="">
      <xdr:nvGraphicFramePr>
        <xdr:cNvPr id="6" name="支出明细" descr="按类别显示支出细分的条形图。" title="支出明细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461012</xdr:colOff>
      <xdr:row>0</xdr:row>
      <xdr:rowOff>4762</xdr:rowOff>
    </xdr:from>
    <xdr:to>
      <xdr:col>2</xdr:col>
      <xdr:colOff>581027</xdr:colOff>
      <xdr:row>2</xdr:row>
      <xdr:rowOff>114299</xdr:rowOff>
    </xdr:to>
    <xdr:grpSp>
      <xdr:nvGrpSpPr>
        <xdr:cNvPr id="40" name="月概况艺术品" descr="&quot;&quot;" title="月概况艺术品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461012" y="4762"/>
          <a:ext cx="1234440" cy="728662"/>
          <a:chOff x="522042" y="4762"/>
          <a:chExt cx="1354386" cy="757237"/>
        </a:xfrm>
      </xdr:grpSpPr>
      <xdr:sp macro="" textlink="">
        <xdr:nvSpPr>
          <xdr:cNvPr id="23" name="五边形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 rot="5400000">
            <a:off x="820616" y="-293812"/>
            <a:ext cx="757237" cy="1354386"/>
          </a:xfrm>
          <a:prstGeom prst="homePlate">
            <a:avLst>
              <a:gd name="adj" fmla="val 21582"/>
            </a:avLst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l"/>
            <a:endParaRPr lang="en-US" sz="1100"/>
          </a:p>
        </xdr:txBody>
      </xdr: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528309" y="79002"/>
            <a:ext cx="1337664" cy="603811"/>
            <a:chOff x="680709" y="59952"/>
            <a:chExt cx="1337664" cy="603811"/>
          </a:xfrm>
        </xdr:grpSpPr>
        <xdr:sp macro="" textlink="图表数据!B37">
          <xdr:nvSpPr>
            <xdr:cNvPr id="24" name="文本框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 txBox="1"/>
          </xdr:nvSpPr>
          <xdr:spPr>
            <a:xfrm>
              <a:off x="680709" y="59952"/>
              <a:ext cx="1337664" cy="2829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b"/>
            <a:lstStyle/>
            <a:p>
              <a:pPr algn="ctr"/>
              <a:fld id="{BBAD2830-67D4-49A6-892D-796766AF9AC7}" type="TxLink">
                <a:rPr lang="en-US" sz="1500" b="1" i="0" u="none" strike="noStrike" spc="50" baseline="0">
                  <a:solidFill>
                    <a:schemeClr val="bg1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pPr algn="ctr"/>
                <a:t>3 月</a:t>
              </a:fld>
              <a:endParaRPr lang="en-US" sz="1500" b="1" spc="50" baseline="0">
                <a:solidFill>
                  <a:schemeClr val="bg1"/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99" name="文本框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 txBox="1"/>
          </xdr:nvSpPr>
          <xdr:spPr>
            <a:xfrm>
              <a:off x="680709" y="333375"/>
              <a:ext cx="1337664" cy="3303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b"/>
            <a:lstStyle/>
            <a:p>
              <a:pPr algn="ctr"/>
              <a:r>
                <a:rPr lang="zh-CN" altLang="en-US" sz="1500" b="1" spc="50" baseline="0">
                  <a:solidFill>
                    <a:schemeClr val="bg1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概况</a:t>
              </a:r>
              <a:endParaRPr lang="en-US" sz="1500" b="1" spc="50" baseline="0">
                <a:solidFill>
                  <a:schemeClr val="bg1"/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</xdr:grpSp>
    <xdr:clientData/>
  </xdr:twoCellAnchor>
  <xdr:twoCellAnchor>
    <xdr:from>
      <xdr:col>4</xdr:col>
      <xdr:colOff>486820</xdr:colOff>
      <xdr:row>2</xdr:row>
      <xdr:rowOff>85725</xdr:rowOff>
    </xdr:from>
    <xdr:to>
      <xdr:col>6</xdr:col>
      <xdr:colOff>114300</xdr:colOff>
      <xdr:row>14</xdr:row>
      <xdr:rowOff>161925</xdr:rowOff>
    </xdr:to>
    <xdr:grpSp>
      <xdr:nvGrpSpPr>
        <xdr:cNvPr id="39" name="支出括号" descr="&quot;&quot;" title="支出括号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2820445" y="704850"/>
          <a:ext cx="846680" cy="2533650"/>
          <a:chOff x="3257550" y="752475"/>
          <a:chExt cx="962025" cy="2600325"/>
        </a:xfrm>
      </xdr:grpSpPr>
      <xdr:cxnSp macro="">
        <xdr:nvCxnSpPr>
          <xdr:cNvPr id="33" name="直线连接线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CxnSpPr/>
        </xdr:nvCxnSpPr>
        <xdr:spPr>
          <a:xfrm>
            <a:off x="3810000" y="752475"/>
            <a:ext cx="0" cy="2600325"/>
          </a:xfrm>
          <a:prstGeom prst="line">
            <a:avLst/>
          </a:prstGeom>
          <a:ln w="381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线连接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/>
        </xdr:nvCxnSpPr>
        <xdr:spPr>
          <a:xfrm>
            <a:off x="3800475" y="771525"/>
            <a:ext cx="419100" cy="0"/>
          </a:xfrm>
          <a:prstGeom prst="line">
            <a:avLst/>
          </a:prstGeom>
          <a:ln w="381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直线连接线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>
            <a:off x="3790950" y="3343275"/>
            <a:ext cx="419100" cy="0"/>
          </a:xfrm>
          <a:prstGeom prst="line">
            <a:avLst/>
          </a:prstGeom>
          <a:ln w="381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直线连接线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3257550" y="2019300"/>
            <a:ext cx="548640" cy="0"/>
          </a:xfrm>
          <a:prstGeom prst="line">
            <a:avLst/>
          </a:prstGeom>
          <a:ln w="381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</xdr:col>
      <xdr:colOff>278896</xdr:colOff>
      <xdr:row>17</xdr:row>
      <xdr:rowOff>2647</xdr:rowOff>
    </xdr:from>
    <xdr:ext cx="1626104" cy="267637"/>
    <xdr:sp macro="" textlink="">
      <xdr:nvSpPr>
        <xdr:cNvPr id="125" name="现金流明细">
          <a:hlinkClick xmlns:r="http://schemas.openxmlformats.org/officeDocument/2006/relationships" r:id="rId3" tooltip="单击可查看预算明细"/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780659" y="3685080"/>
          <a:ext cx="1626104" cy="267637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91440" tIns="0" rIns="91440" bIns="45720" rtlCol="0" anchor="ctr" anchorCtr="1">
          <a:noAutofit/>
        </a:bodyPr>
        <a:lstStyle/>
        <a:p>
          <a:pPr algn="ctr"/>
          <a:r>
            <a:rPr lang="zh-CN" altLang="en-US" sz="1275" b="1" spc="40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预算明细</a:t>
          </a:r>
          <a:endParaRPr lang="en-US" sz="1275" b="1" spc="40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oneCellAnchor>
  <xdr:twoCellAnchor>
    <xdr:from>
      <xdr:col>0</xdr:col>
      <xdr:colOff>466727</xdr:colOff>
      <xdr:row>16</xdr:row>
      <xdr:rowOff>104784</xdr:rowOff>
    </xdr:from>
    <xdr:to>
      <xdr:col>1</xdr:col>
      <xdr:colOff>373382</xdr:colOff>
      <xdr:row>18</xdr:row>
      <xdr:rowOff>154314</xdr:rowOff>
    </xdr:to>
    <xdr:grpSp>
      <xdr:nvGrpSpPr>
        <xdr:cNvPr id="126" name="shpDollar" descr="&quot;&quot;" title="现金流明细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GrpSpPr>
          <a:grpSpLocks noChangeAspect="1"/>
        </xdr:cNvGrpSpPr>
      </xdr:nvGrpSpPr>
      <xdr:grpSpPr bwMode="auto">
        <a:xfrm>
          <a:off x="466727" y="3543309"/>
          <a:ext cx="411480" cy="411480"/>
          <a:chOff x="430" y="820"/>
          <a:chExt cx="56" cy="56"/>
        </a:xfrm>
      </xdr:grpSpPr>
      <xdr:sp macro="" textlink="">
        <xdr:nvSpPr>
          <xdr:cNvPr id="127" name="矩形 54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820"/>
            <a:ext cx="56" cy="56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8" name="任意多边形 55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>
            <a:spLocks/>
          </xdr:cNvSpPr>
        </xdr:nvSpPr>
        <xdr:spPr bwMode="auto">
          <a:xfrm>
            <a:off x="430" y="821"/>
            <a:ext cx="55" cy="55"/>
          </a:xfrm>
          <a:custGeom>
            <a:avLst/>
            <a:gdLst>
              <a:gd name="T0" fmla="*/ 1676 w 3245"/>
              <a:gd name="T1" fmla="*/ 19 h 3231"/>
              <a:gd name="T2" fmla="*/ 2102 w 3245"/>
              <a:gd name="T3" fmla="*/ 90 h 3231"/>
              <a:gd name="T4" fmla="*/ 2170 w 3245"/>
              <a:gd name="T5" fmla="*/ 96 h 3231"/>
              <a:gd name="T6" fmla="*/ 2278 w 3245"/>
              <a:gd name="T7" fmla="*/ 421 h 3231"/>
              <a:gd name="T8" fmla="*/ 2608 w 3245"/>
              <a:gd name="T9" fmla="*/ 337 h 3231"/>
              <a:gd name="T10" fmla="*/ 2651 w 3245"/>
              <a:gd name="T11" fmla="*/ 391 h 3231"/>
              <a:gd name="T12" fmla="*/ 2941 w 3245"/>
              <a:gd name="T13" fmla="*/ 711 h 3231"/>
              <a:gd name="T14" fmla="*/ 2993 w 3245"/>
              <a:gd name="T15" fmla="*/ 758 h 3231"/>
              <a:gd name="T16" fmla="*/ 2879 w 3245"/>
              <a:gd name="T17" fmla="*/ 1074 h 3231"/>
              <a:gd name="T18" fmla="*/ 3192 w 3245"/>
              <a:gd name="T19" fmla="*/ 1212 h 3231"/>
              <a:gd name="T20" fmla="*/ 3192 w 3245"/>
              <a:gd name="T21" fmla="*/ 1280 h 3231"/>
              <a:gd name="T22" fmla="*/ 3232 w 3245"/>
              <a:gd name="T23" fmla="*/ 1712 h 3231"/>
              <a:gd name="T24" fmla="*/ 3241 w 3245"/>
              <a:gd name="T25" fmla="*/ 1780 h 3231"/>
              <a:gd name="T26" fmla="*/ 2950 w 3245"/>
              <a:gd name="T27" fmla="*/ 1957 h 3231"/>
              <a:gd name="T28" fmla="*/ 3120 w 3245"/>
              <a:gd name="T29" fmla="*/ 2261 h 3231"/>
              <a:gd name="T30" fmla="*/ 3079 w 3245"/>
              <a:gd name="T31" fmla="*/ 2316 h 3231"/>
              <a:gd name="T32" fmla="*/ 2841 w 3245"/>
              <a:gd name="T33" fmla="*/ 2684 h 3231"/>
              <a:gd name="T34" fmla="*/ 2808 w 3245"/>
              <a:gd name="T35" fmla="*/ 2744 h 3231"/>
              <a:gd name="T36" fmla="*/ 2472 w 3245"/>
              <a:gd name="T37" fmla="*/ 2714 h 3231"/>
              <a:gd name="T38" fmla="*/ 2414 w 3245"/>
              <a:gd name="T39" fmla="*/ 3047 h 3231"/>
              <a:gd name="T40" fmla="*/ 2348 w 3245"/>
              <a:gd name="T41" fmla="*/ 3064 h 3231"/>
              <a:gd name="T42" fmla="*/ 1938 w 3245"/>
              <a:gd name="T43" fmla="*/ 3203 h 3231"/>
              <a:gd name="T44" fmla="*/ 1886 w 3245"/>
              <a:gd name="T45" fmla="*/ 3230 h 3231"/>
              <a:gd name="T46" fmla="*/ 1838 w 3245"/>
              <a:gd name="T47" fmla="*/ 3217 h 3231"/>
              <a:gd name="T48" fmla="*/ 1405 w 3245"/>
              <a:gd name="T49" fmla="*/ 3220 h 3231"/>
              <a:gd name="T50" fmla="*/ 1336 w 3245"/>
              <a:gd name="T51" fmla="*/ 3224 h 3231"/>
              <a:gd name="T52" fmla="*/ 1176 w 3245"/>
              <a:gd name="T53" fmla="*/ 2926 h 3231"/>
              <a:gd name="T54" fmla="*/ 864 w 3245"/>
              <a:gd name="T55" fmla="*/ 3064 h 3231"/>
              <a:gd name="T56" fmla="*/ 813 w 3245"/>
              <a:gd name="T57" fmla="*/ 3018 h 3231"/>
              <a:gd name="T58" fmla="*/ 476 w 3245"/>
              <a:gd name="T59" fmla="*/ 2756 h 3231"/>
              <a:gd name="T60" fmla="*/ 419 w 3245"/>
              <a:gd name="T61" fmla="*/ 2718 h 3231"/>
              <a:gd name="T62" fmla="*/ 479 w 3245"/>
              <a:gd name="T63" fmla="*/ 2379 h 3231"/>
              <a:gd name="T64" fmla="*/ 140 w 3245"/>
              <a:gd name="T65" fmla="*/ 2294 h 3231"/>
              <a:gd name="T66" fmla="*/ 128 w 3245"/>
              <a:gd name="T67" fmla="*/ 2226 h 3231"/>
              <a:gd name="T68" fmla="*/ 24 w 3245"/>
              <a:gd name="T69" fmla="*/ 1810 h 3231"/>
              <a:gd name="T70" fmla="*/ 1 w 3245"/>
              <a:gd name="T71" fmla="*/ 1744 h 3231"/>
              <a:gd name="T72" fmla="*/ 257 w 3245"/>
              <a:gd name="T73" fmla="*/ 1506 h 3231"/>
              <a:gd name="T74" fmla="*/ 45 w 3245"/>
              <a:gd name="T75" fmla="*/ 1247 h 3231"/>
              <a:gd name="T76" fmla="*/ 77 w 3245"/>
              <a:gd name="T77" fmla="*/ 1186 h 3231"/>
              <a:gd name="T78" fmla="*/ 250 w 3245"/>
              <a:gd name="T79" fmla="*/ 793 h 3231"/>
              <a:gd name="T80" fmla="*/ 273 w 3245"/>
              <a:gd name="T81" fmla="*/ 728 h 3231"/>
              <a:gd name="T82" fmla="*/ 613 w 3245"/>
              <a:gd name="T83" fmla="*/ 702 h 3231"/>
              <a:gd name="T84" fmla="*/ 615 w 3245"/>
              <a:gd name="T85" fmla="*/ 358 h 3231"/>
              <a:gd name="T86" fmla="*/ 678 w 3245"/>
              <a:gd name="T87" fmla="*/ 330 h 3231"/>
              <a:gd name="T88" fmla="*/ 1053 w 3245"/>
              <a:gd name="T89" fmla="*/ 123 h 3231"/>
              <a:gd name="T90" fmla="*/ 1110 w 3245"/>
              <a:gd name="T91" fmla="*/ 85 h 3231"/>
              <a:gd name="T92" fmla="*/ 1397 w 3245"/>
              <a:gd name="T93" fmla="*/ 272 h 3231"/>
              <a:gd name="T94" fmla="*/ 1607 w 3245"/>
              <a:gd name="T95" fmla="*/ 4 h 32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245" h="3231">
                <a:moveTo>
                  <a:pt x="1626" y="0"/>
                </a:moveTo>
                <a:lnTo>
                  <a:pt x="1644" y="3"/>
                </a:lnTo>
                <a:lnTo>
                  <a:pt x="1661" y="9"/>
                </a:lnTo>
                <a:lnTo>
                  <a:pt x="1676" y="19"/>
                </a:lnTo>
                <a:lnTo>
                  <a:pt x="1687" y="33"/>
                </a:lnTo>
                <a:lnTo>
                  <a:pt x="1847" y="272"/>
                </a:lnTo>
                <a:lnTo>
                  <a:pt x="2086" y="98"/>
                </a:lnTo>
                <a:lnTo>
                  <a:pt x="2102" y="90"/>
                </a:lnTo>
                <a:lnTo>
                  <a:pt x="2118" y="85"/>
                </a:lnTo>
                <a:lnTo>
                  <a:pt x="2136" y="85"/>
                </a:lnTo>
                <a:lnTo>
                  <a:pt x="2154" y="89"/>
                </a:lnTo>
                <a:lnTo>
                  <a:pt x="2170" y="96"/>
                </a:lnTo>
                <a:lnTo>
                  <a:pt x="2183" y="108"/>
                </a:lnTo>
                <a:lnTo>
                  <a:pt x="2193" y="122"/>
                </a:lnTo>
                <a:lnTo>
                  <a:pt x="2200" y="139"/>
                </a:lnTo>
                <a:lnTo>
                  <a:pt x="2278" y="421"/>
                </a:lnTo>
                <a:lnTo>
                  <a:pt x="2556" y="333"/>
                </a:lnTo>
                <a:lnTo>
                  <a:pt x="2574" y="330"/>
                </a:lnTo>
                <a:lnTo>
                  <a:pt x="2591" y="331"/>
                </a:lnTo>
                <a:lnTo>
                  <a:pt x="2608" y="337"/>
                </a:lnTo>
                <a:lnTo>
                  <a:pt x="2624" y="346"/>
                </a:lnTo>
                <a:lnTo>
                  <a:pt x="2637" y="359"/>
                </a:lnTo>
                <a:lnTo>
                  <a:pt x="2646" y="374"/>
                </a:lnTo>
                <a:lnTo>
                  <a:pt x="2651" y="391"/>
                </a:lnTo>
                <a:lnTo>
                  <a:pt x="2652" y="409"/>
                </a:lnTo>
                <a:lnTo>
                  <a:pt x="2632" y="702"/>
                </a:lnTo>
                <a:lnTo>
                  <a:pt x="2924" y="708"/>
                </a:lnTo>
                <a:lnTo>
                  <a:pt x="2941" y="711"/>
                </a:lnTo>
                <a:lnTo>
                  <a:pt x="2958" y="718"/>
                </a:lnTo>
                <a:lnTo>
                  <a:pt x="2972" y="728"/>
                </a:lnTo>
                <a:lnTo>
                  <a:pt x="2985" y="742"/>
                </a:lnTo>
                <a:lnTo>
                  <a:pt x="2993" y="758"/>
                </a:lnTo>
                <a:lnTo>
                  <a:pt x="2996" y="776"/>
                </a:lnTo>
                <a:lnTo>
                  <a:pt x="2996" y="793"/>
                </a:lnTo>
                <a:lnTo>
                  <a:pt x="2991" y="811"/>
                </a:lnTo>
                <a:lnTo>
                  <a:pt x="2879" y="1074"/>
                </a:lnTo>
                <a:lnTo>
                  <a:pt x="3153" y="1177"/>
                </a:lnTo>
                <a:lnTo>
                  <a:pt x="3169" y="1185"/>
                </a:lnTo>
                <a:lnTo>
                  <a:pt x="3182" y="1197"/>
                </a:lnTo>
                <a:lnTo>
                  <a:pt x="3192" y="1212"/>
                </a:lnTo>
                <a:lnTo>
                  <a:pt x="3199" y="1229"/>
                </a:lnTo>
                <a:lnTo>
                  <a:pt x="3201" y="1246"/>
                </a:lnTo>
                <a:lnTo>
                  <a:pt x="3199" y="1264"/>
                </a:lnTo>
                <a:lnTo>
                  <a:pt x="3192" y="1280"/>
                </a:lnTo>
                <a:lnTo>
                  <a:pt x="3182" y="1295"/>
                </a:lnTo>
                <a:lnTo>
                  <a:pt x="2993" y="1506"/>
                </a:lnTo>
                <a:lnTo>
                  <a:pt x="3220" y="1699"/>
                </a:lnTo>
                <a:lnTo>
                  <a:pt x="3232" y="1712"/>
                </a:lnTo>
                <a:lnTo>
                  <a:pt x="3241" y="1727"/>
                </a:lnTo>
                <a:lnTo>
                  <a:pt x="3245" y="1745"/>
                </a:lnTo>
                <a:lnTo>
                  <a:pt x="3245" y="1763"/>
                </a:lnTo>
                <a:lnTo>
                  <a:pt x="3241" y="1780"/>
                </a:lnTo>
                <a:lnTo>
                  <a:pt x="3233" y="1796"/>
                </a:lnTo>
                <a:lnTo>
                  <a:pt x="3222" y="1810"/>
                </a:lnTo>
                <a:lnTo>
                  <a:pt x="3207" y="1820"/>
                </a:lnTo>
                <a:lnTo>
                  <a:pt x="2950" y="1957"/>
                </a:lnTo>
                <a:lnTo>
                  <a:pt x="3110" y="2209"/>
                </a:lnTo>
                <a:lnTo>
                  <a:pt x="3117" y="2225"/>
                </a:lnTo>
                <a:lnTo>
                  <a:pt x="3121" y="2244"/>
                </a:lnTo>
                <a:lnTo>
                  <a:pt x="3120" y="2261"/>
                </a:lnTo>
                <a:lnTo>
                  <a:pt x="3115" y="2278"/>
                </a:lnTo>
                <a:lnTo>
                  <a:pt x="3106" y="2294"/>
                </a:lnTo>
                <a:lnTo>
                  <a:pt x="3094" y="2307"/>
                </a:lnTo>
                <a:lnTo>
                  <a:pt x="3079" y="2316"/>
                </a:lnTo>
                <a:lnTo>
                  <a:pt x="3062" y="2322"/>
                </a:lnTo>
                <a:lnTo>
                  <a:pt x="2772" y="2379"/>
                </a:lnTo>
                <a:lnTo>
                  <a:pt x="2839" y="2666"/>
                </a:lnTo>
                <a:lnTo>
                  <a:pt x="2841" y="2684"/>
                </a:lnTo>
                <a:lnTo>
                  <a:pt x="2839" y="2702"/>
                </a:lnTo>
                <a:lnTo>
                  <a:pt x="2832" y="2718"/>
                </a:lnTo>
                <a:lnTo>
                  <a:pt x="2822" y="2733"/>
                </a:lnTo>
                <a:lnTo>
                  <a:pt x="2808" y="2744"/>
                </a:lnTo>
                <a:lnTo>
                  <a:pt x="2792" y="2752"/>
                </a:lnTo>
                <a:lnTo>
                  <a:pt x="2774" y="2756"/>
                </a:lnTo>
                <a:lnTo>
                  <a:pt x="2757" y="2756"/>
                </a:lnTo>
                <a:lnTo>
                  <a:pt x="2472" y="2714"/>
                </a:lnTo>
                <a:lnTo>
                  <a:pt x="2438" y="3001"/>
                </a:lnTo>
                <a:lnTo>
                  <a:pt x="2433" y="3018"/>
                </a:lnTo>
                <a:lnTo>
                  <a:pt x="2425" y="3034"/>
                </a:lnTo>
                <a:lnTo>
                  <a:pt x="2414" y="3047"/>
                </a:lnTo>
                <a:lnTo>
                  <a:pt x="2399" y="3057"/>
                </a:lnTo>
                <a:lnTo>
                  <a:pt x="2383" y="3064"/>
                </a:lnTo>
                <a:lnTo>
                  <a:pt x="2365" y="3066"/>
                </a:lnTo>
                <a:lnTo>
                  <a:pt x="2348" y="3064"/>
                </a:lnTo>
                <a:lnTo>
                  <a:pt x="2331" y="3058"/>
                </a:lnTo>
                <a:lnTo>
                  <a:pt x="2067" y="2926"/>
                </a:lnTo>
                <a:lnTo>
                  <a:pt x="1947" y="3187"/>
                </a:lnTo>
                <a:lnTo>
                  <a:pt x="1938" y="3203"/>
                </a:lnTo>
                <a:lnTo>
                  <a:pt x="1925" y="3215"/>
                </a:lnTo>
                <a:lnTo>
                  <a:pt x="1909" y="3225"/>
                </a:lnTo>
                <a:lnTo>
                  <a:pt x="1892" y="3230"/>
                </a:lnTo>
                <a:lnTo>
                  <a:pt x="1886" y="3230"/>
                </a:lnTo>
                <a:lnTo>
                  <a:pt x="1880" y="3231"/>
                </a:lnTo>
                <a:lnTo>
                  <a:pt x="1865" y="3229"/>
                </a:lnTo>
                <a:lnTo>
                  <a:pt x="1851" y="3225"/>
                </a:lnTo>
                <a:lnTo>
                  <a:pt x="1838" y="3217"/>
                </a:lnTo>
                <a:lnTo>
                  <a:pt x="1827" y="3207"/>
                </a:lnTo>
                <a:lnTo>
                  <a:pt x="1625" y="2997"/>
                </a:lnTo>
                <a:lnTo>
                  <a:pt x="1419" y="3208"/>
                </a:lnTo>
                <a:lnTo>
                  <a:pt x="1405" y="3220"/>
                </a:lnTo>
                <a:lnTo>
                  <a:pt x="1389" y="3227"/>
                </a:lnTo>
                <a:lnTo>
                  <a:pt x="1371" y="3231"/>
                </a:lnTo>
                <a:lnTo>
                  <a:pt x="1354" y="3229"/>
                </a:lnTo>
                <a:lnTo>
                  <a:pt x="1336" y="3224"/>
                </a:lnTo>
                <a:lnTo>
                  <a:pt x="1321" y="3215"/>
                </a:lnTo>
                <a:lnTo>
                  <a:pt x="1309" y="3203"/>
                </a:lnTo>
                <a:lnTo>
                  <a:pt x="1299" y="3188"/>
                </a:lnTo>
                <a:lnTo>
                  <a:pt x="1176" y="2926"/>
                </a:lnTo>
                <a:lnTo>
                  <a:pt x="916" y="3058"/>
                </a:lnTo>
                <a:lnTo>
                  <a:pt x="899" y="3064"/>
                </a:lnTo>
                <a:lnTo>
                  <a:pt x="881" y="3066"/>
                </a:lnTo>
                <a:lnTo>
                  <a:pt x="864" y="3064"/>
                </a:lnTo>
                <a:lnTo>
                  <a:pt x="847" y="3057"/>
                </a:lnTo>
                <a:lnTo>
                  <a:pt x="832" y="3047"/>
                </a:lnTo>
                <a:lnTo>
                  <a:pt x="821" y="3033"/>
                </a:lnTo>
                <a:lnTo>
                  <a:pt x="813" y="3018"/>
                </a:lnTo>
                <a:lnTo>
                  <a:pt x="809" y="3000"/>
                </a:lnTo>
                <a:lnTo>
                  <a:pt x="779" y="2714"/>
                </a:lnTo>
                <a:lnTo>
                  <a:pt x="495" y="2756"/>
                </a:lnTo>
                <a:lnTo>
                  <a:pt x="476" y="2756"/>
                </a:lnTo>
                <a:lnTo>
                  <a:pt x="459" y="2752"/>
                </a:lnTo>
                <a:lnTo>
                  <a:pt x="443" y="2744"/>
                </a:lnTo>
                <a:lnTo>
                  <a:pt x="429" y="2733"/>
                </a:lnTo>
                <a:lnTo>
                  <a:pt x="419" y="2718"/>
                </a:lnTo>
                <a:lnTo>
                  <a:pt x="412" y="2702"/>
                </a:lnTo>
                <a:lnTo>
                  <a:pt x="410" y="2684"/>
                </a:lnTo>
                <a:lnTo>
                  <a:pt x="412" y="2666"/>
                </a:lnTo>
                <a:lnTo>
                  <a:pt x="479" y="2379"/>
                </a:lnTo>
                <a:lnTo>
                  <a:pt x="184" y="2322"/>
                </a:lnTo>
                <a:lnTo>
                  <a:pt x="167" y="2316"/>
                </a:lnTo>
                <a:lnTo>
                  <a:pt x="152" y="2307"/>
                </a:lnTo>
                <a:lnTo>
                  <a:pt x="140" y="2294"/>
                </a:lnTo>
                <a:lnTo>
                  <a:pt x="131" y="2279"/>
                </a:lnTo>
                <a:lnTo>
                  <a:pt x="126" y="2261"/>
                </a:lnTo>
                <a:lnTo>
                  <a:pt x="125" y="2244"/>
                </a:lnTo>
                <a:lnTo>
                  <a:pt x="128" y="2226"/>
                </a:lnTo>
                <a:lnTo>
                  <a:pt x="136" y="2209"/>
                </a:lnTo>
                <a:lnTo>
                  <a:pt x="292" y="1957"/>
                </a:lnTo>
                <a:lnTo>
                  <a:pt x="39" y="1820"/>
                </a:lnTo>
                <a:lnTo>
                  <a:pt x="24" y="1810"/>
                </a:lnTo>
                <a:lnTo>
                  <a:pt x="12" y="1796"/>
                </a:lnTo>
                <a:lnTo>
                  <a:pt x="4" y="1780"/>
                </a:lnTo>
                <a:lnTo>
                  <a:pt x="0" y="1762"/>
                </a:lnTo>
                <a:lnTo>
                  <a:pt x="1" y="1744"/>
                </a:lnTo>
                <a:lnTo>
                  <a:pt x="6" y="1727"/>
                </a:lnTo>
                <a:lnTo>
                  <a:pt x="15" y="1711"/>
                </a:lnTo>
                <a:lnTo>
                  <a:pt x="27" y="1698"/>
                </a:lnTo>
                <a:lnTo>
                  <a:pt x="257" y="1506"/>
                </a:lnTo>
                <a:lnTo>
                  <a:pt x="64" y="1296"/>
                </a:lnTo>
                <a:lnTo>
                  <a:pt x="54" y="1281"/>
                </a:lnTo>
                <a:lnTo>
                  <a:pt x="47" y="1265"/>
                </a:lnTo>
                <a:lnTo>
                  <a:pt x="45" y="1247"/>
                </a:lnTo>
                <a:lnTo>
                  <a:pt x="47" y="1229"/>
                </a:lnTo>
                <a:lnTo>
                  <a:pt x="53" y="1212"/>
                </a:lnTo>
                <a:lnTo>
                  <a:pt x="63" y="1197"/>
                </a:lnTo>
                <a:lnTo>
                  <a:pt x="77" y="1186"/>
                </a:lnTo>
                <a:lnTo>
                  <a:pt x="93" y="1177"/>
                </a:lnTo>
                <a:lnTo>
                  <a:pt x="365" y="1074"/>
                </a:lnTo>
                <a:lnTo>
                  <a:pt x="255" y="810"/>
                </a:lnTo>
                <a:lnTo>
                  <a:pt x="250" y="793"/>
                </a:lnTo>
                <a:lnTo>
                  <a:pt x="250" y="775"/>
                </a:lnTo>
                <a:lnTo>
                  <a:pt x="253" y="758"/>
                </a:lnTo>
                <a:lnTo>
                  <a:pt x="261" y="742"/>
                </a:lnTo>
                <a:lnTo>
                  <a:pt x="273" y="728"/>
                </a:lnTo>
                <a:lnTo>
                  <a:pt x="287" y="718"/>
                </a:lnTo>
                <a:lnTo>
                  <a:pt x="303" y="711"/>
                </a:lnTo>
                <a:lnTo>
                  <a:pt x="321" y="708"/>
                </a:lnTo>
                <a:lnTo>
                  <a:pt x="613" y="702"/>
                </a:lnTo>
                <a:lnTo>
                  <a:pt x="599" y="407"/>
                </a:lnTo>
                <a:lnTo>
                  <a:pt x="600" y="389"/>
                </a:lnTo>
                <a:lnTo>
                  <a:pt x="606" y="373"/>
                </a:lnTo>
                <a:lnTo>
                  <a:pt x="615" y="358"/>
                </a:lnTo>
                <a:lnTo>
                  <a:pt x="628" y="345"/>
                </a:lnTo>
                <a:lnTo>
                  <a:pt x="643" y="336"/>
                </a:lnTo>
                <a:lnTo>
                  <a:pt x="660" y="331"/>
                </a:lnTo>
                <a:lnTo>
                  <a:pt x="678" y="330"/>
                </a:lnTo>
                <a:lnTo>
                  <a:pt x="695" y="333"/>
                </a:lnTo>
                <a:lnTo>
                  <a:pt x="971" y="420"/>
                </a:lnTo>
                <a:lnTo>
                  <a:pt x="1046" y="140"/>
                </a:lnTo>
                <a:lnTo>
                  <a:pt x="1053" y="123"/>
                </a:lnTo>
                <a:lnTo>
                  <a:pt x="1063" y="108"/>
                </a:lnTo>
                <a:lnTo>
                  <a:pt x="1076" y="97"/>
                </a:lnTo>
                <a:lnTo>
                  <a:pt x="1093" y="89"/>
                </a:lnTo>
                <a:lnTo>
                  <a:pt x="1110" y="85"/>
                </a:lnTo>
                <a:lnTo>
                  <a:pt x="1128" y="85"/>
                </a:lnTo>
                <a:lnTo>
                  <a:pt x="1145" y="90"/>
                </a:lnTo>
                <a:lnTo>
                  <a:pt x="1161" y="99"/>
                </a:lnTo>
                <a:lnTo>
                  <a:pt x="1397" y="272"/>
                </a:lnTo>
                <a:lnTo>
                  <a:pt x="1565" y="32"/>
                </a:lnTo>
                <a:lnTo>
                  <a:pt x="1576" y="19"/>
                </a:lnTo>
                <a:lnTo>
                  <a:pt x="1590" y="10"/>
                </a:lnTo>
                <a:lnTo>
                  <a:pt x="1607" y="4"/>
                </a:lnTo>
                <a:lnTo>
                  <a:pt x="162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9" name="任意多边形 56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>
            <a:spLocks noEditPoints="1"/>
          </xdr:cNvSpPr>
        </xdr:nvSpPr>
        <xdr:spPr bwMode="auto">
          <a:xfrm>
            <a:off x="446" y="831"/>
            <a:ext cx="23" cy="36"/>
          </a:xfrm>
          <a:custGeom>
            <a:avLst/>
            <a:gdLst>
              <a:gd name="T0" fmla="*/ 873 w 1402"/>
              <a:gd name="T1" fmla="*/ 1607 h 2041"/>
              <a:gd name="T2" fmla="*/ 998 w 1402"/>
              <a:gd name="T3" fmla="*/ 1539 h 2041"/>
              <a:gd name="T4" fmla="*/ 1069 w 1402"/>
              <a:gd name="T5" fmla="*/ 1420 h 2041"/>
              <a:gd name="T6" fmla="*/ 1054 w 1402"/>
              <a:gd name="T7" fmla="*/ 1302 h 2041"/>
              <a:gd name="T8" fmla="*/ 969 w 1402"/>
              <a:gd name="T9" fmla="*/ 1220 h 2041"/>
              <a:gd name="T10" fmla="*/ 790 w 1402"/>
              <a:gd name="T11" fmla="*/ 1153 h 2041"/>
              <a:gd name="T12" fmla="*/ 504 w 1402"/>
              <a:gd name="T13" fmla="*/ 456 h 2041"/>
              <a:gd name="T14" fmla="*/ 411 w 1402"/>
              <a:gd name="T15" fmla="*/ 523 h 2041"/>
              <a:gd name="T16" fmla="*/ 384 w 1402"/>
              <a:gd name="T17" fmla="*/ 623 h 2041"/>
              <a:gd name="T18" fmla="*/ 409 w 1402"/>
              <a:gd name="T19" fmla="*/ 718 h 2041"/>
              <a:gd name="T20" fmla="*/ 499 w 1402"/>
              <a:gd name="T21" fmla="*/ 785 h 2041"/>
              <a:gd name="T22" fmla="*/ 620 w 1402"/>
              <a:gd name="T23" fmla="*/ 417 h 2041"/>
              <a:gd name="T24" fmla="*/ 763 w 1402"/>
              <a:gd name="T25" fmla="*/ 17 h 2041"/>
              <a:gd name="T26" fmla="*/ 790 w 1402"/>
              <a:gd name="T27" fmla="*/ 89 h 2041"/>
              <a:gd name="T28" fmla="*/ 947 w 1402"/>
              <a:gd name="T29" fmla="*/ 228 h 2041"/>
              <a:gd name="T30" fmla="*/ 1130 w 1402"/>
              <a:gd name="T31" fmla="*/ 298 h 2041"/>
              <a:gd name="T32" fmla="*/ 1280 w 1402"/>
              <a:gd name="T33" fmla="*/ 437 h 2041"/>
              <a:gd name="T34" fmla="*/ 1336 w 1402"/>
              <a:gd name="T35" fmla="*/ 558 h 2041"/>
              <a:gd name="T36" fmla="*/ 1310 w 1402"/>
              <a:gd name="T37" fmla="*/ 656 h 2041"/>
              <a:gd name="T38" fmla="*/ 1205 w 1402"/>
              <a:gd name="T39" fmla="*/ 713 h 2041"/>
              <a:gd name="T40" fmla="*/ 1086 w 1402"/>
              <a:gd name="T41" fmla="*/ 699 h 2041"/>
              <a:gd name="T42" fmla="*/ 1013 w 1402"/>
              <a:gd name="T43" fmla="*/ 628 h 2041"/>
              <a:gd name="T44" fmla="*/ 952 w 1402"/>
              <a:gd name="T45" fmla="*/ 513 h 2041"/>
              <a:gd name="T46" fmla="*/ 830 w 1402"/>
              <a:gd name="T47" fmla="*/ 434 h 2041"/>
              <a:gd name="T48" fmla="*/ 912 w 1402"/>
              <a:gd name="T49" fmla="*/ 900 h 2041"/>
              <a:gd name="T50" fmla="*/ 1101 w 1402"/>
              <a:gd name="T51" fmla="*/ 955 h 2041"/>
              <a:gd name="T52" fmla="*/ 1267 w 1402"/>
              <a:gd name="T53" fmla="*/ 1058 h 2041"/>
              <a:gd name="T54" fmla="*/ 1375 w 1402"/>
              <a:gd name="T55" fmla="*/ 1211 h 2041"/>
              <a:gd name="T56" fmla="*/ 1399 w 1402"/>
              <a:gd name="T57" fmla="*/ 1398 h 2041"/>
              <a:gd name="T58" fmla="*/ 1329 w 1402"/>
              <a:gd name="T59" fmla="*/ 1581 h 2041"/>
              <a:gd name="T60" fmla="*/ 1204 w 1402"/>
              <a:gd name="T61" fmla="*/ 1707 h 2041"/>
              <a:gd name="T62" fmla="*/ 1021 w 1402"/>
              <a:gd name="T63" fmla="*/ 1796 h 2041"/>
              <a:gd name="T64" fmla="*/ 790 w 1402"/>
              <a:gd name="T65" fmla="*/ 1838 h 2041"/>
              <a:gd name="T66" fmla="*/ 782 w 1402"/>
              <a:gd name="T67" fmla="*/ 1995 h 2041"/>
              <a:gd name="T68" fmla="*/ 744 w 1402"/>
              <a:gd name="T69" fmla="*/ 2036 h 2041"/>
              <a:gd name="T70" fmla="*/ 666 w 1402"/>
              <a:gd name="T71" fmla="*/ 2035 h 2041"/>
              <a:gd name="T72" fmla="*/ 625 w 1402"/>
              <a:gd name="T73" fmla="*/ 1987 h 2041"/>
              <a:gd name="T74" fmla="*/ 560 w 1402"/>
              <a:gd name="T75" fmla="*/ 1833 h 2041"/>
              <a:gd name="T76" fmla="*/ 348 w 1402"/>
              <a:gd name="T77" fmla="*/ 1781 h 2041"/>
              <a:gd name="T78" fmla="*/ 154 w 1402"/>
              <a:gd name="T79" fmla="*/ 1668 h 2041"/>
              <a:gd name="T80" fmla="*/ 38 w 1402"/>
              <a:gd name="T81" fmla="*/ 1526 h 2041"/>
              <a:gd name="T82" fmla="*/ 0 w 1402"/>
              <a:gd name="T83" fmla="*/ 1383 h 2041"/>
              <a:gd name="T84" fmla="*/ 50 w 1402"/>
              <a:gd name="T85" fmla="*/ 1290 h 2041"/>
              <a:gd name="T86" fmla="*/ 147 w 1402"/>
              <a:gd name="T87" fmla="*/ 1250 h 2041"/>
              <a:gd name="T88" fmla="*/ 255 w 1402"/>
              <a:gd name="T89" fmla="*/ 1261 h 2041"/>
              <a:gd name="T90" fmla="*/ 325 w 1402"/>
              <a:gd name="T91" fmla="*/ 1315 h 2041"/>
              <a:gd name="T92" fmla="*/ 383 w 1402"/>
              <a:gd name="T93" fmla="*/ 1444 h 2041"/>
              <a:gd name="T94" fmla="*/ 477 w 1402"/>
              <a:gd name="T95" fmla="*/ 1556 h 2041"/>
              <a:gd name="T96" fmla="*/ 620 w 1402"/>
              <a:gd name="T97" fmla="*/ 1616 h 2041"/>
              <a:gd name="T98" fmla="*/ 427 w 1402"/>
              <a:gd name="T99" fmla="*/ 1062 h 2041"/>
              <a:gd name="T100" fmla="*/ 234 w 1402"/>
              <a:gd name="T101" fmla="*/ 977 h 2041"/>
              <a:gd name="T102" fmla="*/ 105 w 1402"/>
              <a:gd name="T103" fmla="*/ 851 h 2041"/>
              <a:gd name="T104" fmla="*/ 54 w 1402"/>
              <a:gd name="T105" fmla="*/ 696 h 2041"/>
              <a:gd name="T106" fmla="*/ 74 w 1402"/>
              <a:gd name="T107" fmla="*/ 520 h 2041"/>
              <a:gd name="T108" fmla="*/ 165 w 1402"/>
              <a:gd name="T109" fmla="*/ 376 h 2041"/>
              <a:gd name="T110" fmla="*/ 327 w 1402"/>
              <a:gd name="T111" fmla="*/ 269 h 2041"/>
              <a:gd name="T112" fmla="*/ 553 w 1402"/>
              <a:gd name="T113" fmla="*/ 212 h 2041"/>
              <a:gd name="T114" fmla="*/ 627 w 1402"/>
              <a:gd name="T115" fmla="*/ 47 h 2041"/>
              <a:gd name="T116" fmla="*/ 682 w 1402"/>
              <a:gd name="T117" fmla="*/ 2 h 20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1402" h="2041">
                <a:moveTo>
                  <a:pt x="790" y="1153"/>
                </a:moveTo>
                <a:lnTo>
                  <a:pt x="790" y="1627"/>
                </a:lnTo>
                <a:lnTo>
                  <a:pt x="834" y="1618"/>
                </a:lnTo>
                <a:lnTo>
                  <a:pt x="873" y="1607"/>
                </a:lnTo>
                <a:lnTo>
                  <a:pt x="910" y="1594"/>
                </a:lnTo>
                <a:lnTo>
                  <a:pt x="943" y="1578"/>
                </a:lnTo>
                <a:lnTo>
                  <a:pt x="972" y="1560"/>
                </a:lnTo>
                <a:lnTo>
                  <a:pt x="998" y="1539"/>
                </a:lnTo>
                <a:lnTo>
                  <a:pt x="1025" y="1512"/>
                </a:lnTo>
                <a:lnTo>
                  <a:pt x="1045" y="1483"/>
                </a:lnTo>
                <a:lnTo>
                  <a:pt x="1060" y="1452"/>
                </a:lnTo>
                <a:lnTo>
                  <a:pt x="1069" y="1420"/>
                </a:lnTo>
                <a:lnTo>
                  <a:pt x="1072" y="1385"/>
                </a:lnTo>
                <a:lnTo>
                  <a:pt x="1070" y="1355"/>
                </a:lnTo>
                <a:lnTo>
                  <a:pt x="1064" y="1327"/>
                </a:lnTo>
                <a:lnTo>
                  <a:pt x="1054" y="1302"/>
                </a:lnTo>
                <a:lnTo>
                  <a:pt x="1040" y="1279"/>
                </a:lnTo>
                <a:lnTo>
                  <a:pt x="1022" y="1259"/>
                </a:lnTo>
                <a:lnTo>
                  <a:pt x="1000" y="1240"/>
                </a:lnTo>
                <a:lnTo>
                  <a:pt x="969" y="1220"/>
                </a:lnTo>
                <a:lnTo>
                  <a:pt x="932" y="1202"/>
                </a:lnTo>
                <a:lnTo>
                  <a:pt x="890" y="1184"/>
                </a:lnTo>
                <a:lnTo>
                  <a:pt x="843" y="1168"/>
                </a:lnTo>
                <a:lnTo>
                  <a:pt x="790" y="1153"/>
                </a:lnTo>
                <a:close/>
                <a:moveTo>
                  <a:pt x="620" y="417"/>
                </a:moveTo>
                <a:lnTo>
                  <a:pt x="578" y="429"/>
                </a:lnTo>
                <a:lnTo>
                  <a:pt x="539" y="442"/>
                </a:lnTo>
                <a:lnTo>
                  <a:pt x="504" y="456"/>
                </a:lnTo>
                <a:lnTo>
                  <a:pt x="473" y="472"/>
                </a:lnTo>
                <a:lnTo>
                  <a:pt x="446" y="489"/>
                </a:lnTo>
                <a:lnTo>
                  <a:pt x="427" y="505"/>
                </a:lnTo>
                <a:lnTo>
                  <a:pt x="411" y="523"/>
                </a:lnTo>
                <a:lnTo>
                  <a:pt x="399" y="544"/>
                </a:lnTo>
                <a:lnTo>
                  <a:pt x="390" y="568"/>
                </a:lnTo>
                <a:lnTo>
                  <a:pt x="385" y="594"/>
                </a:lnTo>
                <a:lnTo>
                  <a:pt x="384" y="623"/>
                </a:lnTo>
                <a:lnTo>
                  <a:pt x="385" y="650"/>
                </a:lnTo>
                <a:lnTo>
                  <a:pt x="390" y="675"/>
                </a:lnTo>
                <a:lnTo>
                  <a:pt x="398" y="698"/>
                </a:lnTo>
                <a:lnTo>
                  <a:pt x="409" y="718"/>
                </a:lnTo>
                <a:lnTo>
                  <a:pt x="424" y="736"/>
                </a:lnTo>
                <a:lnTo>
                  <a:pt x="442" y="752"/>
                </a:lnTo>
                <a:lnTo>
                  <a:pt x="468" y="769"/>
                </a:lnTo>
                <a:lnTo>
                  <a:pt x="499" y="785"/>
                </a:lnTo>
                <a:lnTo>
                  <a:pt x="534" y="801"/>
                </a:lnTo>
                <a:lnTo>
                  <a:pt x="575" y="817"/>
                </a:lnTo>
                <a:lnTo>
                  <a:pt x="620" y="831"/>
                </a:lnTo>
                <a:lnTo>
                  <a:pt x="620" y="417"/>
                </a:lnTo>
                <a:close/>
                <a:moveTo>
                  <a:pt x="704" y="0"/>
                </a:moveTo>
                <a:lnTo>
                  <a:pt x="727" y="2"/>
                </a:lnTo>
                <a:lnTo>
                  <a:pt x="747" y="8"/>
                </a:lnTo>
                <a:lnTo>
                  <a:pt x="763" y="17"/>
                </a:lnTo>
                <a:lnTo>
                  <a:pt x="775" y="29"/>
                </a:lnTo>
                <a:lnTo>
                  <a:pt x="784" y="45"/>
                </a:lnTo>
                <a:lnTo>
                  <a:pt x="789" y="65"/>
                </a:lnTo>
                <a:lnTo>
                  <a:pt x="790" y="89"/>
                </a:lnTo>
                <a:lnTo>
                  <a:pt x="790" y="205"/>
                </a:lnTo>
                <a:lnTo>
                  <a:pt x="846" y="211"/>
                </a:lnTo>
                <a:lnTo>
                  <a:pt x="898" y="219"/>
                </a:lnTo>
                <a:lnTo>
                  <a:pt x="947" y="228"/>
                </a:lnTo>
                <a:lnTo>
                  <a:pt x="992" y="240"/>
                </a:lnTo>
                <a:lnTo>
                  <a:pt x="1035" y="253"/>
                </a:lnTo>
                <a:lnTo>
                  <a:pt x="1084" y="273"/>
                </a:lnTo>
                <a:lnTo>
                  <a:pt x="1130" y="298"/>
                </a:lnTo>
                <a:lnTo>
                  <a:pt x="1173" y="328"/>
                </a:lnTo>
                <a:lnTo>
                  <a:pt x="1213" y="362"/>
                </a:lnTo>
                <a:lnTo>
                  <a:pt x="1250" y="399"/>
                </a:lnTo>
                <a:lnTo>
                  <a:pt x="1280" y="437"/>
                </a:lnTo>
                <a:lnTo>
                  <a:pt x="1305" y="476"/>
                </a:lnTo>
                <a:lnTo>
                  <a:pt x="1319" y="504"/>
                </a:lnTo>
                <a:lnTo>
                  <a:pt x="1330" y="532"/>
                </a:lnTo>
                <a:lnTo>
                  <a:pt x="1336" y="558"/>
                </a:lnTo>
                <a:lnTo>
                  <a:pt x="1338" y="583"/>
                </a:lnTo>
                <a:lnTo>
                  <a:pt x="1335" y="609"/>
                </a:lnTo>
                <a:lnTo>
                  <a:pt x="1326" y="633"/>
                </a:lnTo>
                <a:lnTo>
                  <a:pt x="1310" y="656"/>
                </a:lnTo>
                <a:lnTo>
                  <a:pt x="1289" y="676"/>
                </a:lnTo>
                <a:lnTo>
                  <a:pt x="1264" y="693"/>
                </a:lnTo>
                <a:lnTo>
                  <a:pt x="1235" y="706"/>
                </a:lnTo>
                <a:lnTo>
                  <a:pt x="1205" y="713"/>
                </a:lnTo>
                <a:lnTo>
                  <a:pt x="1171" y="716"/>
                </a:lnTo>
                <a:lnTo>
                  <a:pt x="1140" y="714"/>
                </a:lnTo>
                <a:lnTo>
                  <a:pt x="1112" y="708"/>
                </a:lnTo>
                <a:lnTo>
                  <a:pt x="1086" y="699"/>
                </a:lnTo>
                <a:lnTo>
                  <a:pt x="1064" y="687"/>
                </a:lnTo>
                <a:lnTo>
                  <a:pt x="1044" y="671"/>
                </a:lnTo>
                <a:lnTo>
                  <a:pt x="1027" y="651"/>
                </a:lnTo>
                <a:lnTo>
                  <a:pt x="1013" y="628"/>
                </a:lnTo>
                <a:lnTo>
                  <a:pt x="1002" y="601"/>
                </a:lnTo>
                <a:lnTo>
                  <a:pt x="989" y="569"/>
                </a:lnTo>
                <a:lnTo>
                  <a:pt x="973" y="539"/>
                </a:lnTo>
                <a:lnTo>
                  <a:pt x="952" y="513"/>
                </a:lnTo>
                <a:lnTo>
                  <a:pt x="927" y="489"/>
                </a:lnTo>
                <a:lnTo>
                  <a:pt x="899" y="468"/>
                </a:lnTo>
                <a:lnTo>
                  <a:pt x="867" y="449"/>
                </a:lnTo>
                <a:lnTo>
                  <a:pt x="830" y="434"/>
                </a:lnTo>
                <a:lnTo>
                  <a:pt x="790" y="422"/>
                </a:lnTo>
                <a:lnTo>
                  <a:pt x="790" y="871"/>
                </a:lnTo>
                <a:lnTo>
                  <a:pt x="854" y="886"/>
                </a:lnTo>
                <a:lnTo>
                  <a:pt x="912" y="900"/>
                </a:lnTo>
                <a:lnTo>
                  <a:pt x="964" y="913"/>
                </a:lnTo>
                <a:lnTo>
                  <a:pt x="1012" y="926"/>
                </a:lnTo>
                <a:lnTo>
                  <a:pt x="1053" y="938"/>
                </a:lnTo>
                <a:lnTo>
                  <a:pt x="1101" y="955"/>
                </a:lnTo>
                <a:lnTo>
                  <a:pt x="1146" y="975"/>
                </a:lnTo>
                <a:lnTo>
                  <a:pt x="1189" y="1000"/>
                </a:lnTo>
                <a:lnTo>
                  <a:pt x="1229" y="1027"/>
                </a:lnTo>
                <a:lnTo>
                  <a:pt x="1267" y="1058"/>
                </a:lnTo>
                <a:lnTo>
                  <a:pt x="1302" y="1092"/>
                </a:lnTo>
                <a:lnTo>
                  <a:pt x="1331" y="1129"/>
                </a:lnTo>
                <a:lnTo>
                  <a:pt x="1356" y="1169"/>
                </a:lnTo>
                <a:lnTo>
                  <a:pt x="1375" y="1211"/>
                </a:lnTo>
                <a:lnTo>
                  <a:pt x="1389" y="1255"/>
                </a:lnTo>
                <a:lnTo>
                  <a:pt x="1399" y="1302"/>
                </a:lnTo>
                <a:lnTo>
                  <a:pt x="1402" y="1350"/>
                </a:lnTo>
                <a:lnTo>
                  <a:pt x="1399" y="1398"/>
                </a:lnTo>
                <a:lnTo>
                  <a:pt x="1389" y="1446"/>
                </a:lnTo>
                <a:lnTo>
                  <a:pt x="1375" y="1492"/>
                </a:lnTo>
                <a:lnTo>
                  <a:pt x="1355" y="1537"/>
                </a:lnTo>
                <a:lnTo>
                  <a:pt x="1329" y="1581"/>
                </a:lnTo>
                <a:lnTo>
                  <a:pt x="1304" y="1615"/>
                </a:lnTo>
                <a:lnTo>
                  <a:pt x="1274" y="1649"/>
                </a:lnTo>
                <a:lnTo>
                  <a:pt x="1241" y="1679"/>
                </a:lnTo>
                <a:lnTo>
                  <a:pt x="1204" y="1707"/>
                </a:lnTo>
                <a:lnTo>
                  <a:pt x="1164" y="1733"/>
                </a:lnTo>
                <a:lnTo>
                  <a:pt x="1120" y="1757"/>
                </a:lnTo>
                <a:lnTo>
                  <a:pt x="1072" y="1778"/>
                </a:lnTo>
                <a:lnTo>
                  <a:pt x="1021" y="1796"/>
                </a:lnTo>
                <a:lnTo>
                  <a:pt x="968" y="1811"/>
                </a:lnTo>
                <a:lnTo>
                  <a:pt x="912" y="1823"/>
                </a:lnTo>
                <a:lnTo>
                  <a:pt x="852" y="1832"/>
                </a:lnTo>
                <a:lnTo>
                  <a:pt x="790" y="1838"/>
                </a:lnTo>
                <a:lnTo>
                  <a:pt x="790" y="1919"/>
                </a:lnTo>
                <a:lnTo>
                  <a:pt x="789" y="1948"/>
                </a:lnTo>
                <a:lnTo>
                  <a:pt x="787" y="1974"/>
                </a:lnTo>
                <a:lnTo>
                  <a:pt x="782" y="1995"/>
                </a:lnTo>
                <a:lnTo>
                  <a:pt x="775" y="2012"/>
                </a:lnTo>
                <a:lnTo>
                  <a:pt x="768" y="2022"/>
                </a:lnTo>
                <a:lnTo>
                  <a:pt x="757" y="2030"/>
                </a:lnTo>
                <a:lnTo>
                  <a:pt x="744" y="2036"/>
                </a:lnTo>
                <a:lnTo>
                  <a:pt x="726" y="2040"/>
                </a:lnTo>
                <a:lnTo>
                  <a:pt x="707" y="2041"/>
                </a:lnTo>
                <a:lnTo>
                  <a:pt x="685" y="2039"/>
                </a:lnTo>
                <a:lnTo>
                  <a:pt x="666" y="2035"/>
                </a:lnTo>
                <a:lnTo>
                  <a:pt x="651" y="2028"/>
                </a:lnTo>
                <a:lnTo>
                  <a:pt x="640" y="2017"/>
                </a:lnTo>
                <a:lnTo>
                  <a:pt x="631" y="2004"/>
                </a:lnTo>
                <a:lnTo>
                  <a:pt x="625" y="1987"/>
                </a:lnTo>
                <a:lnTo>
                  <a:pt x="622" y="1967"/>
                </a:lnTo>
                <a:lnTo>
                  <a:pt x="620" y="1944"/>
                </a:lnTo>
                <a:lnTo>
                  <a:pt x="620" y="1840"/>
                </a:lnTo>
                <a:lnTo>
                  <a:pt x="560" y="1833"/>
                </a:lnTo>
                <a:lnTo>
                  <a:pt x="502" y="1824"/>
                </a:lnTo>
                <a:lnTo>
                  <a:pt x="448" y="1812"/>
                </a:lnTo>
                <a:lnTo>
                  <a:pt x="396" y="1798"/>
                </a:lnTo>
                <a:lnTo>
                  <a:pt x="348" y="1781"/>
                </a:lnTo>
                <a:lnTo>
                  <a:pt x="292" y="1757"/>
                </a:lnTo>
                <a:lnTo>
                  <a:pt x="241" y="1730"/>
                </a:lnTo>
                <a:lnTo>
                  <a:pt x="195" y="1700"/>
                </a:lnTo>
                <a:lnTo>
                  <a:pt x="154" y="1668"/>
                </a:lnTo>
                <a:lnTo>
                  <a:pt x="117" y="1633"/>
                </a:lnTo>
                <a:lnTo>
                  <a:pt x="86" y="1598"/>
                </a:lnTo>
                <a:lnTo>
                  <a:pt x="59" y="1563"/>
                </a:lnTo>
                <a:lnTo>
                  <a:pt x="38" y="1526"/>
                </a:lnTo>
                <a:lnTo>
                  <a:pt x="21" y="1490"/>
                </a:lnTo>
                <a:lnTo>
                  <a:pt x="10" y="1454"/>
                </a:lnTo>
                <a:lnTo>
                  <a:pt x="2" y="1419"/>
                </a:lnTo>
                <a:lnTo>
                  <a:pt x="0" y="1383"/>
                </a:lnTo>
                <a:lnTo>
                  <a:pt x="3" y="1358"/>
                </a:lnTo>
                <a:lnTo>
                  <a:pt x="13" y="1334"/>
                </a:lnTo>
                <a:lnTo>
                  <a:pt x="28" y="1311"/>
                </a:lnTo>
                <a:lnTo>
                  <a:pt x="50" y="1290"/>
                </a:lnTo>
                <a:lnTo>
                  <a:pt x="72" y="1275"/>
                </a:lnTo>
                <a:lnTo>
                  <a:pt x="95" y="1263"/>
                </a:lnTo>
                <a:lnTo>
                  <a:pt x="120" y="1255"/>
                </a:lnTo>
                <a:lnTo>
                  <a:pt x="147" y="1250"/>
                </a:lnTo>
                <a:lnTo>
                  <a:pt x="176" y="1248"/>
                </a:lnTo>
                <a:lnTo>
                  <a:pt x="205" y="1250"/>
                </a:lnTo>
                <a:lnTo>
                  <a:pt x="231" y="1254"/>
                </a:lnTo>
                <a:lnTo>
                  <a:pt x="255" y="1261"/>
                </a:lnTo>
                <a:lnTo>
                  <a:pt x="277" y="1271"/>
                </a:lnTo>
                <a:lnTo>
                  <a:pt x="296" y="1283"/>
                </a:lnTo>
                <a:lnTo>
                  <a:pt x="312" y="1298"/>
                </a:lnTo>
                <a:lnTo>
                  <a:pt x="325" y="1315"/>
                </a:lnTo>
                <a:lnTo>
                  <a:pt x="334" y="1335"/>
                </a:lnTo>
                <a:lnTo>
                  <a:pt x="352" y="1376"/>
                </a:lnTo>
                <a:lnTo>
                  <a:pt x="368" y="1413"/>
                </a:lnTo>
                <a:lnTo>
                  <a:pt x="383" y="1444"/>
                </a:lnTo>
                <a:lnTo>
                  <a:pt x="397" y="1470"/>
                </a:lnTo>
                <a:lnTo>
                  <a:pt x="418" y="1501"/>
                </a:lnTo>
                <a:lnTo>
                  <a:pt x="444" y="1529"/>
                </a:lnTo>
                <a:lnTo>
                  <a:pt x="477" y="1556"/>
                </a:lnTo>
                <a:lnTo>
                  <a:pt x="506" y="1574"/>
                </a:lnTo>
                <a:lnTo>
                  <a:pt x="540" y="1591"/>
                </a:lnTo>
                <a:lnTo>
                  <a:pt x="578" y="1604"/>
                </a:lnTo>
                <a:lnTo>
                  <a:pt x="620" y="1616"/>
                </a:lnTo>
                <a:lnTo>
                  <a:pt x="620" y="1113"/>
                </a:lnTo>
                <a:lnTo>
                  <a:pt x="551" y="1097"/>
                </a:lnTo>
                <a:lnTo>
                  <a:pt x="487" y="1080"/>
                </a:lnTo>
                <a:lnTo>
                  <a:pt x="427" y="1062"/>
                </a:lnTo>
                <a:lnTo>
                  <a:pt x="372" y="1043"/>
                </a:lnTo>
                <a:lnTo>
                  <a:pt x="322" y="1024"/>
                </a:lnTo>
                <a:lnTo>
                  <a:pt x="276" y="1003"/>
                </a:lnTo>
                <a:lnTo>
                  <a:pt x="234" y="977"/>
                </a:lnTo>
                <a:lnTo>
                  <a:pt x="195" y="949"/>
                </a:lnTo>
                <a:lnTo>
                  <a:pt x="159" y="918"/>
                </a:lnTo>
                <a:lnTo>
                  <a:pt x="128" y="883"/>
                </a:lnTo>
                <a:lnTo>
                  <a:pt x="105" y="851"/>
                </a:lnTo>
                <a:lnTo>
                  <a:pt x="86" y="817"/>
                </a:lnTo>
                <a:lnTo>
                  <a:pt x="72" y="779"/>
                </a:lnTo>
                <a:lnTo>
                  <a:pt x="61" y="739"/>
                </a:lnTo>
                <a:lnTo>
                  <a:pt x="54" y="696"/>
                </a:lnTo>
                <a:lnTo>
                  <a:pt x="52" y="650"/>
                </a:lnTo>
                <a:lnTo>
                  <a:pt x="55" y="604"/>
                </a:lnTo>
                <a:lnTo>
                  <a:pt x="61" y="561"/>
                </a:lnTo>
                <a:lnTo>
                  <a:pt x="74" y="520"/>
                </a:lnTo>
                <a:lnTo>
                  <a:pt x="90" y="481"/>
                </a:lnTo>
                <a:lnTo>
                  <a:pt x="110" y="444"/>
                </a:lnTo>
                <a:lnTo>
                  <a:pt x="135" y="409"/>
                </a:lnTo>
                <a:lnTo>
                  <a:pt x="165" y="376"/>
                </a:lnTo>
                <a:lnTo>
                  <a:pt x="199" y="345"/>
                </a:lnTo>
                <a:lnTo>
                  <a:pt x="238" y="316"/>
                </a:lnTo>
                <a:lnTo>
                  <a:pt x="280" y="291"/>
                </a:lnTo>
                <a:lnTo>
                  <a:pt x="327" y="269"/>
                </a:lnTo>
                <a:lnTo>
                  <a:pt x="377" y="250"/>
                </a:lnTo>
                <a:lnTo>
                  <a:pt x="432" y="234"/>
                </a:lnTo>
                <a:lnTo>
                  <a:pt x="491" y="221"/>
                </a:lnTo>
                <a:lnTo>
                  <a:pt x="553" y="212"/>
                </a:lnTo>
                <a:lnTo>
                  <a:pt x="620" y="205"/>
                </a:lnTo>
                <a:lnTo>
                  <a:pt x="620" y="91"/>
                </a:lnTo>
                <a:lnTo>
                  <a:pt x="622" y="67"/>
                </a:lnTo>
                <a:lnTo>
                  <a:pt x="627" y="47"/>
                </a:lnTo>
                <a:lnTo>
                  <a:pt x="636" y="30"/>
                </a:lnTo>
                <a:lnTo>
                  <a:pt x="648" y="17"/>
                </a:lnTo>
                <a:lnTo>
                  <a:pt x="663" y="8"/>
                </a:lnTo>
                <a:lnTo>
                  <a:pt x="682" y="2"/>
                </a:lnTo>
                <a:lnTo>
                  <a:pt x="704" y="0"/>
                </a:lnTo>
                <a:close/>
              </a:path>
            </a:pathLst>
          </a:custGeom>
          <a:solidFill>
            <a:schemeClr val="tx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8</xdr:col>
      <xdr:colOff>419099</xdr:colOff>
      <xdr:row>0</xdr:row>
      <xdr:rowOff>38100</xdr:rowOff>
    </xdr:from>
    <xdr:to>
      <xdr:col>14</xdr:col>
      <xdr:colOff>447674</xdr:colOff>
      <xdr:row>0</xdr:row>
      <xdr:rowOff>390525</xdr:rowOff>
    </xdr:to>
    <xdr:sp macro="" textlink="">
      <xdr:nvSpPr>
        <xdr:cNvPr id="2" name="姓氏" descr="&quot;&quot;" title="单击此处可为您的家庭个性化此模板">
          <a:hlinkClick xmlns:r="http://schemas.openxmlformats.org/officeDocument/2006/relationships" r:id="rId4" tooltip="单击此处可为您的家庭个性化此模板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91199" y="38100"/>
          <a:ext cx="4143375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atin typeface="+mj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16383</xdr:col>
          <xdr:colOff>0</xdr:colOff>
          <xdr:row>1048575</xdr:row>
          <xdr:rowOff>0</xdr:rowOff>
        </xdr:to>
        <xdr:sp macro="" textlink="">
          <xdr:nvSpPr>
            <xdr:cNvPr id="4100" name="月滚动" descr="单击可按月份循环浏览支出明细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16383</xdr:col>
          <xdr:colOff>0</xdr:colOff>
          <xdr:row>1048575</xdr:row>
          <xdr:rowOff>0</xdr:rowOff>
        </xdr:to>
        <xdr:sp macro="" textlink="">
          <xdr:nvSpPr>
            <xdr:cNvPr id="4098" name="月滚动" descr="单击可按月份循环浏览支出明细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16383</xdr:col>
          <xdr:colOff>0</xdr:colOff>
          <xdr:row>1048575</xdr:row>
          <xdr:rowOff>0</xdr:rowOff>
        </xdr:to>
        <xdr:sp macro="" textlink="">
          <xdr:nvSpPr>
            <xdr:cNvPr id="4099" name="Scroll Bar 3" descr="单击可按月份循环浏览支出明细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20</xdr:col>
      <xdr:colOff>226695</xdr:colOff>
      <xdr:row>1</xdr:row>
      <xdr:rowOff>261</xdr:rowOff>
    </xdr:to>
    <xdr:sp macro="" textlink="">
      <xdr:nvSpPr>
        <xdr:cNvPr id="2" name="页眉边框" descr="&quot;&quot;" title="页眉边框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715625" y="0"/>
          <a:ext cx="2103120" cy="438411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</xdr:col>
      <xdr:colOff>180975</xdr:colOff>
      <xdr:row>0</xdr:row>
      <xdr:rowOff>0</xdr:rowOff>
    </xdr:from>
    <xdr:to>
      <xdr:col>1</xdr:col>
      <xdr:colOff>1433517</xdr:colOff>
      <xdr:row>2</xdr:row>
      <xdr:rowOff>109537</xdr:rowOff>
    </xdr:to>
    <xdr:grpSp>
      <xdr:nvGrpSpPr>
        <xdr:cNvPr id="4" name="组 3" descr="&quot;&quot;" title="期初结余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04800" y="0"/>
          <a:ext cx="1252542" cy="757237"/>
          <a:chOff x="304800" y="0"/>
          <a:chExt cx="1252542" cy="757237"/>
        </a:xfrm>
      </xdr:grpSpPr>
      <xdr:sp macro="" textlink="">
        <xdr:nvSpPr>
          <xdr:cNvPr id="24" name="五边形 23" descr="&quot;&quot;" title="期初结余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 rot="5400000">
            <a:off x="552452" y="-247652"/>
            <a:ext cx="757237" cy="1252542"/>
          </a:xfrm>
          <a:prstGeom prst="homePlate">
            <a:avLst>
              <a:gd name="adj" fmla="val 21582"/>
            </a:avLst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GrpSpPr/>
        </xdr:nvGrpSpPr>
        <xdr:grpSpPr>
          <a:xfrm>
            <a:off x="380561" y="33337"/>
            <a:ext cx="1097282" cy="576263"/>
            <a:chOff x="816249" y="19050"/>
            <a:chExt cx="1130659" cy="576263"/>
          </a:xfrm>
        </xdr:grpSpPr>
        <xdr:sp macro="" textlink="">
          <xdr:nvSpPr>
            <xdr:cNvPr id="26" name="文本框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816250" y="19050"/>
              <a:ext cx="1130658" cy="2381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zh-CN" altLang="en-US" sz="900" b="1" spc="50" baseline="0">
                  <a:solidFill>
                    <a:schemeClr val="bg1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期初结余</a:t>
              </a:r>
              <a:endParaRPr lang="en-US" sz="900" b="1" spc="50" baseline="0">
                <a:solidFill>
                  <a:schemeClr val="bg1"/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StartingBalance">
          <xdr:nvSpPr>
            <xdr:cNvPr id="27" name="文本框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816249" y="242888"/>
              <a:ext cx="1130657" cy="3524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b"/>
            <a:lstStyle/>
            <a:p>
              <a:pPr algn="ctr"/>
              <a:fld id="{2B216359-7D6C-4C16-9AE0-5BD22C726D6B}" type="TxLink">
                <a:rPr lang="en-US" sz="1800" b="1" i="0" u="none" strike="noStrike" spc="50" baseline="0">
                  <a:solidFill>
                    <a:schemeClr val="bg1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pPr algn="ctr"/>
                <a:t>10000</a:t>
              </a:fld>
              <a:endParaRPr lang="en-US" sz="1800" b="1" spc="50" baseline="0">
                <a:solidFill>
                  <a:schemeClr val="bg1"/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</xdr:grpSp>
    <xdr:clientData/>
  </xdr:twoCellAnchor>
  <xdr:twoCellAnchor>
    <xdr:from>
      <xdr:col>17</xdr:col>
      <xdr:colOff>443744</xdr:colOff>
      <xdr:row>0</xdr:row>
      <xdr:rowOff>95251</xdr:rowOff>
    </xdr:from>
    <xdr:to>
      <xdr:col>20</xdr:col>
      <xdr:colOff>77984</xdr:colOff>
      <xdr:row>0</xdr:row>
      <xdr:rowOff>333375</xdr:rowOff>
    </xdr:to>
    <xdr:sp macro="" textlink="">
      <xdr:nvSpPr>
        <xdr:cNvPr id="34" name="返回概况" descr="单击返回“仪表板”工作表" title="返回概况">
          <a:hlinkClick xmlns:r="http://schemas.openxmlformats.org/officeDocument/2006/relationships" r:id="rId1" tooltip="单击可返回到“仪表板”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11206994" y="95251"/>
          <a:ext cx="1463040" cy="238124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zh-CN" altLang="en-US" sz="800" b="1" spc="40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返回概况</a:t>
          </a:r>
          <a:endParaRPr lang="en-US" sz="800" b="1" spc="40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 fPrintsWithSheet="0"/>
  </xdr:twoCellAnchor>
  <xdr:twoCellAnchor editAs="oneCell">
    <xdr:from>
      <xdr:col>17</xdr:col>
      <xdr:colOff>180975</xdr:colOff>
      <xdr:row>0</xdr:row>
      <xdr:rowOff>28575</xdr:rowOff>
    </xdr:from>
    <xdr:to>
      <xdr:col>17</xdr:col>
      <xdr:colOff>546735</xdr:colOff>
      <xdr:row>0</xdr:row>
      <xdr:rowOff>394335</xdr:rowOff>
    </xdr:to>
    <xdr:grpSp>
      <xdr:nvGrpSpPr>
        <xdr:cNvPr id="30" name="shpGauge" descr="&quot;&quot;" title="仪表板图标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>
          <a:grpSpLocks noChangeAspect="1"/>
        </xdr:cNvGrpSpPr>
      </xdr:nvGrpSpPr>
      <xdr:grpSpPr bwMode="auto">
        <a:xfrm>
          <a:off x="10944225" y="28575"/>
          <a:ext cx="365760" cy="365760"/>
          <a:chOff x="695" y="842"/>
          <a:chExt cx="45" cy="45"/>
        </a:xfrm>
      </xdr:grpSpPr>
      <xdr:sp macro="" textlink="">
        <xdr:nvSpPr>
          <xdr:cNvPr id="31" name="矩形 6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695" y="842"/>
            <a:ext cx="45" cy="45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" name="任意多边形 6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695" y="842"/>
            <a:ext cx="44" cy="44"/>
          </a:xfrm>
          <a:custGeom>
            <a:avLst/>
            <a:gdLst>
              <a:gd name="T0" fmla="*/ 1672 w 3238"/>
              <a:gd name="T1" fmla="*/ 18 h 3203"/>
              <a:gd name="T2" fmla="*/ 2098 w 3238"/>
              <a:gd name="T3" fmla="*/ 88 h 3203"/>
              <a:gd name="T4" fmla="*/ 2165 w 3238"/>
              <a:gd name="T5" fmla="*/ 95 h 3203"/>
              <a:gd name="T6" fmla="*/ 2274 w 3238"/>
              <a:gd name="T7" fmla="*/ 416 h 3203"/>
              <a:gd name="T8" fmla="*/ 2603 w 3238"/>
              <a:gd name="T9" fmla="*/ 332 h 3203"/>
              <a:gd name="T10" fmla="*/ 2646 w 3238"/>
              <a:gd name="T11" fmla="*/ 386 h 3203"/>
              <a:gd name="T12" fmla="*/ 2936 w 3238"/>
              <a:gd name="T13" fmla="*/ 704 h 3203"/>
              <a:gd name="T14" fmla="*/ 2986 w 3238"/>
              <a:gd name="T15" fmla="*/ 751 h 3203"/>
              <a:gd name="T16" fmla="*/ 2874 w 3238"/>
              <a:gd name="T17" fmla="*/ 1064 h 3203"/>
              <a:gd name="T18" fmla="*/ 3186 w 3238"/>
              <a:gd name="T19" fmla="*/ 1201 h 3203"/>
              <a:gd name="T20" fmla="*/ 3186 w 3238"/>
              <a:gd name="T21" fmla="*/ 1269 h 3203"/>
              <a:gd name="T22" fmla="*/ 3225 w 3238"/>
              <a:gd name="T23" fmla="*/ 1696 h 3203"/>
              <a:gd name="T24" fmla="*/ 3234 w 3238"/>
              <a:gd name="T25" fmla="*/ 1765 h 3203"/>
              <a:gd name="T26" fmla="*/ 2944 w 3238"/>
              <a:gd name="T27" fmla="*/ 1940 h 3203"/>
              <a:gd name="T28" fmla="*/ 3114 w 3238"/>
              <a:gd name="T29" fmla="*/ 2241 h 3203"/>
              <a:gd name="T30" fmla="*/ 3073 w 3238"/>
              <a:gd name="T31" fmla="*/ 2295 h 3203"/>
              <a:gd name="T32" fmla="*/ 2835 w 3238"/>
              <a:gd name="T33" fmla="*/ 2661 h 3203"/>
              <a:gd name="T34" fmla="*/ 2802 w 3238"/>
              <a:gd name="T35" fmla="*/ 2722 h 3203"/>
              <a:gd name="T36" fmla="*/ 2466 w 3238"/>
              <a:gd name="T37" fmla="*/ 2690 h 3203"/>
              <a:gd name="T38" fmla="*/ 2408 w 3238"/>
              <a:gd name="T39" fmla="*/ 3020 h 3203"/>
              <a:gd name="T40" fmla="*/ 2343 w 3238"/>
              <a:gd name="T41" fmla="*/ 3037 h 3203"/>
              <a:gd name="T42" fmla="*/ 1933 w 3238"/>
              <a:gd name="T43" fmla="*/ 3176 h 3203"/>
              <a:gd name="T44" fmla="*/ 1883 w 3238"/>
              <a:gd name="T45" fmla="*/ 3203 h 3203"/>
              <a:gd name="T46" fmla="*/ 1834 w 3238"/>
              <a:gd name="T47" fmla="*/ 3190 h 3203"/>
              <a:gd name="T48" fmla="*/ 1402 w 3238"/>
              <a:gd name="T49" fmla="*/ 3192 h 3203"/>
              <a:gd name="T50" fmla="*/ 1333 w 3238"/>
              <a:gd name="T51" fmla="*/ 3197 h 3203"/>
              <a:gd name="T52" fmla="*/ 1174 w 3238"/>
              <a:gd name="T53" fmla="*/ 2900 h 3203"/>
              <a:gd name="T54" fmla="*/ 862 w 3238"/>
              <a:gd name="T55" fmla="*/ 3037 h 3203"/>
              <a:gd name="T56" fmla="*/ 812 w 3238"/>
              <a:gd name="T57" fmla="*/ 2991 h 3203"/>
              <a:gd name="T58" fmla="*/ 475 w 3238"/>
              <a:gd name="T59" fmla="*/ 2733 h 3203"/>
              <a:gd name="T60" fmla="*/ 418 w 3238"/>
              <a:gd name="T61" fmla="*/ 2694 h 3203"/>
              <a:gd name="T62" fmla="*/ 477 w 3238"/>
              <a:gd name="T63" fmla="*/ 2358 h 3203"/>
              <a:gd name="T64" fmla="*/ 140 w 3238"/>
              <a:gd name="T65" fmla="*/ 2274 h 3203"/>
              <a:gd name="T66" fmla="*/ 128 w 3238"/>
              <a:gd name="T67" fmla="*/ 2207 h 3203"/>
              <a:gd name="T68" fmla="*/ 24 w 3238"/>
              <a:gd name="T69" fmla="*/ 1794 h 3203"/>
              <a:gd name="T70" fmla="*/ 1 w 3238"/>
              <a:gd name="T71" fmla="*/ 1728 h 3203"/>
              <a:gd name="T72" fmla="*/ 257 w 3238"/>
              <a:gd name="T73" fmla="*/ 1494 h 3203"/>
              <a:gd name="T74" fmla="*/ 45 w 3238"/>
              <a:gd name="T75" fmla="*/ 1236 h 3203"/>
              <a:gd name="T76" fmla="*/ 77 w 3238"/>
              <a:gd name="T77" fmla="*/ 1175 h 3203"/>
              <a:gd name="T78" fmla="*/ 250 w 3238"/>
              <a:gd name="T79" fmla="*/ 785 h 3203"/>
              <a:gd name="T80" fmla="*/ 273 w 3238"/>
              <a:gd name="T81" fmla="*/ 721 h 3203"/>
              <a:gd name="T82" fmla="*/ 611 w 3238"/>
              <a:gd name="T83" fmla="*/ 695 h 3203"/>
              <a:gd name="T84" fmla="*/ 614 w 3238"/>
              <a:gd name="T85" fmla="*/ 354 h 3203"/>
              <a:gd name="T86" fmla="*/ 676 w 3238"/>
              <a:gd name="T87" fmla="*/ 326 h 3203"/>
              <a:gd name="T88" fmla="*/ 1050 w 3238"/>
              <a:gd name="T89" fmla="*/ 121 h 3203"/>
              <a:gd name="T90" fmla="*/ 1108 w 3238"/>
              <a:gd name="T91" fmla="*/ 83 h 3203"/>
              <a:gd name="T92" fmla="*/ 1394 w 3238"/>
              <a:gd name="T93" fmla="*/ 269 h 3203"/>
              <a:gd name="T94" fmla="*/ 1604 w 3238"/>
              <a:gd name="T95" fmla="*/ 3 h 320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238" h="3203">
                <a:moveTo>
                  <a:pt x="1623" y="0"/>
                </a:moveTo>
                <a:lnTo>
                  <a:pt x="1641" y="2"/>
                </a:lnTo>
                <a:lnTo>
                  <a:pt x="1657" y="8"/>
                </a:lnTo>
                <a:lnTo>
                  <a:pt x="1672" y="18"/>
                </a:lnTo>
                <a:lnTo>
                  <a:pt x="1684" y="32"/>
                </a:lnTo>
                <a:lnTo>
                  <a:pt x="1843" y="268"/>
                </a:lnTo>
                <a:lnTo>
                  <a:pt x="2081" y="96"/>
                </a:lnTo>
                <a:lnTo>
                  <a:pt x="2098" y="88"/>
                </a:lnTo>
                <a:lnTo>
                  <a:pt x="2115" y="84"/>
                </a:lnTo>
                <a:lnTo>
                  <a:pt x="2132" y="83"/>
                </a:lnTo>
                <a:lnTo>
                  <a:pt x="2150" y="87"/>
                </a:lnTo>
                <a:lnTo>
                  <a:pt x="2165" y="95"/>
                </a:lnTo>
                <a:lnTo>
                  <a:pt x="2179" y="106"/>
                </a:lnTo>
                <a:lnTo>
                  <a:pt x="2189" y="120"/>
                </a:lnTo>
                <a:lnTo>
                  <a:pt x="2196" y="136"/>
                </a:lnTo>
                <a:lnTo>
                  <a:pt x="2274" y="416"/>
                </a:lnTo>
                <a:lnTo>
                  <a:pt x="2551" y="329"/>
                </a:lnTo>
                <a:lnTo>
                  <a:pt x="2568" y="326"/>
                </a:lnTo>
                <a:lnTo>
                  <a:pt x="2586" y="327"/>
                </a:lnTo>
                <a:lnTo>
                  <a:pt x="2603" y="332"/>
                </a:lnTo>
                <a:lnTo>
                  <a:pt x="2618" y="342"/>
                </a:lnTo>
                <a:lnTo>
                  <a:pt x="2631" y="354"/>
                </a:lnTo>
                <a:lnTo>
                  <a:pt x="2641" y="369"/>
                </a:lnTo>
                <a:lnTo>
                  <a:pt x="2646" y="386"/>
                </a:lnTo>
                <a:lnTo>
                  <a:pt x="2647" y="404"/>
                </a:lnTo>
                <a:lnTo>
                  <a:pt x="2626" y="695"/>
                </a:lnTo>
                <a:lnTo>
                  <a:pt x="2918" y="701"/>
                </a:lnTo>
                <a:lnTo>
                  <a:pt x="2936" y="704"/>
                </a:lnTo>
                <a:lnTo>
                  <a:pt x="2952" y="711"/>
                </a:lnTo>
                <a:lnTo>
                  <a:pt x="2967" y="721"/>
                </a:lnTo>
                <a:lnTo>
                  <a:pt x="2979" y="735"/>
                </a:lnTo>
                <a:lnTo>
                  <a:pt x="2986" y="751"/>
                </a:lnTo>
                <a:lnTo>
                  <a:pt x="2990" y="768"/>
                </a:lnTo>
                <a:lnTo>
                  <a:pt x="2989" y="786"/>
                </a:lnTo>
                <a:lnTo>
                  <a:pt x="2984" y="804"/>
                </a:lnTo>
                <a:lnTo>
                  <a:pt x="2874" y="1064"/>
                </a:lnTo>
                <a:lnTo>
                  <a:pt x="3146" y="1166"/>
                </a:lnTo>
                <a:lnTo>
                  <a:pt x="3162" y="1175"/>
                </a:lnTo>
                <a:lnTo>
                  <a:pt x="3176" y="1187"/>
                </a:lnTo>
                <a:lnTo>
                  <a:pt x="3186" y="1201"/>
                </a:lnTo>
                <a:lnTo>
                  <a:pt x="3192" y="1218"/>
                </a:lnTo>
                <a:lnTo>
                  <a:pt x="3194" y="1235"/>
                </a:lnTo>
                <a:lnTo>
                  <a:pt x="3192" y="1253"/>
                </a:lnTo>
                <a:lnTo>
                  <a:pt x="3186" y="1269"/>
                </a:lnTo>
                <a:lnTo>
                  <a:pt x="3176" y="1284"/>
                </a:lnTo>
                <a:lnTo>
                  <a:pt x="2986" y="1494"/>
                </a:lnTo>
                <a:lnTo>
                  <a:pt x="3213" y="1683"/>
                </a:lnTo>
                <a:lnTo>
                  <a:pt x="3225" y="1696"/>
                </a:lnTo>
                <a:lnTo>
                  <a:pt x="3234" y="1712"/>
                </a:lnTo>
                <a:lnTo>
                  <a:pt x="3238" y="1729"/>
                </a:lnTo>
                <a:lnTo>
                  <a:pt x="3238" y="1746"/>
                </a:lnTo>
                <a:lnTo>
                  <a:pt x="3234" y="1765"/>
                </a:lnTo>
                <a:lnTo>
                  <a:pt x="3226" y="1781"/>
                </a:lnTo>
                <a:lnTo>
                  <a:pt x="3215" y="1794"/>
                </a:lnTo>
                <a:lnTo>
                  <a:pt x="3200" y="1805"/>
                </a:lnTo>
                <a:lnTo>
                  <a:pt x="2944" y="1940"/>
                </a:lnTo>
                <a:lnTo>
                  <a:pt x="3103" y="2190"/>
                </a:lnTo>
                <a:lnTo>
                  <a:pt x="3111" y="2206"/>
                </a:lnTo>
                <a:lnTo>
                  <a:pt x="3114" y="2224"/>
                </a:lnTo>
                <a:lnTo>
                  <a:pt x="3114" y="2241"/>
                </a:lnTo>
                <a:lnTo>
                  <a:pt x="3109" y="2258"/>
                </a:lnTo>
                <a:lnTo>
                  <a:pt x="3100" y="2274"/>
                </a:lnTo>
                <a:lnTo>
                  <a:pt x="3087" y="2286"/>
                </a:lnTo>
                <a:lnTo>
                  <a:pt x="3073" y="2295"/>
                </a:lnTo>
                <a:lnTo>
                  <a:pt x="3055" y="2301"/>
                </a:lnTo>
                <a:lnTo>
                  <a:pt x="2767" y="2358"/>
                </a:lnTo>
                <a:lnTo>
                  <a:pt x="2833" y="2643"/>
                </a:lnTo>
                <a:lnTo>
                  <a:pt x="2835" y="2661"/>
                </a:lnTo>
                <a:lnTo>
                  <a:pt x="2833" y="2678"/>
                </a:lnTo>
                <a:lnTo>
                  <a:pt x="2827" y="2694"/>
                </a:lnTo>
                <a:lnTo>
                  <a:pt x="2816" y="2709"/>
                </a:lnTo>
                <a:lnTo>
                  <a:pt x="2802" y="2722"/>
                </a:lnTo>
                <a:lnTo>
                  <a:pt x="2786" y="2729"/>
                </a:lnTo>
                <a:lnTo>
                  <a:pt x="2769" y="2733"/>
                </a:lnTo>
                <a:lnTo>
                  <a:pt x="2751" y="2733"/>
                </a:lnTo>
                <a:lnTo>
                  <a:pt x="2466" y="2690"/>
                </a:lnTo>
                <a:lnTo>
                  <a:pt x="2433" y="2975"/>
                </a:lnTo>
                <a:lnTo>
                  <a:pt x="2428" y="2992"/>
                </a:lnTo>
                <a:lnTo>
                  <a:pt x="2420" y="3007"/>
                </a:lnTo>
                <a:lnTo>
                  <a:pt x="2408" y="3020"/>
                </a:lnTo>
                <a:lnTo>
                  <a:pt x="2394" y="3031"/>
                </a:lnTo>
                <a:lnTo>
                  <a:pt x="2377" y="3037"/>
                </a:lnTo>
                <a:lnTo>
                  <a:pt x="2360" y="3039"/>
                </a:lnTo>
                <a:lnTo>
                  <a:pt x="2343" y="3037"/>
                </a:lnTo>
                <a:lnTo>
                  <a:pt x="2326" y="3032"/>
                </a:lnTo>
                <a:lnTo>
                  <a:pt x="2063" y="2900"/>
                </a:lnTo>
                <a:lnTo>
                  <a:pt x="1943" y="3160"/>
                </a:lnTo>
                <a:lnTo>
                  <a:pt x="1933" y="3176"/>
                </a:lnTo>
                <a:lnTo>
                  <a:pt x="1921" y="3188"/>
                </a:lnTo>
                <a:lnTo>
                  <a:pt x="1906" y="3197"/>
                </a:lnTo>
                <a:lnTo>
                  <a:pt x="1889" y="3202"/>
                </a:lnTo>
                <a:lnTo>
                  <a:pt x="1883" y="3203"/>
                </a:lnTo>
                <a:lnTo>
                  <a:pt x="1875" y="3203"/>
                </a:lnTo>
                <a:lnTo>
                  <a:pt x="1861" y="3201"/>
                </a:lnTo>
                <a:lnTo>
                  <a:pt x="1847" y="3197"/>
                </a:lnTo>
                <a:lnTo>
                  <a:pt x="1834" y="3190"/>
                </a:lnTo>
                <a:lnTo>
                  <a:pt x="1823" y="3180"/>
                </a:lnTo>
                <a:lnTo>
                  <a:pt x="1622" y="2970"/>
                </a:lnTo>
                <a:lnTo>
                  <a:pt x="1416" y="3181"/>
                </a:lnTo>
                <a:lnTo>
                  <a:pt x="1402" y="3192"/>
                </a:lnTo>
                <a:lnTo>
                  <a:pt x="1386" y="3200"/>
                </a:lnTo>
                <a:lnTo>
                  <a:pt x="1369" y="3203"/>
                </a:lnTo>
                <a:lnTo>
                  <a:pt x="1351" y="3202"/>
                </a:lnTo>
                <a:lnTo>
                  <a:pt x="1333" y="3197"/>
                </a:lnTo>
                <a:lnTo>
                  <a:pt x="1318" y="3188"/>
                </a:lnTo>
                <a:lnTo>
                  <a:pt x="1306" y="3176"/>
                </a:lnTo>
                <a:lnTo>
                  <a:pt x="1296" y="3161"/>
                </a:lnTo>
                <a:lnTo>
                  <a:pt x="1174" y="2900"/>
                </a:lnTo>
                <a:lnTo>
                  <a:pt x="915" y="3031"/>
                </a:lnTo>
                <a:lnTo>
                  <a:pt x="897" y="3037"/>
                </a:lnTo>
                <a:lnTo>
                  <a:pt x="879" y="3039"/>
                </a:lnTo>
                <a:lnTo>
                  <a:pt x="862" y="3037"/>
                </a:lnTo>
                <a:lnTo>
                  <a:pt x="846" y="3031"/>
                </a:lnTo>
                <a:lnTo>
                  <a:pt x="831" y="3020"/>
                </a:lnTo>
                <a:lnTo>
                  <a:pt x="820" y="3007"/>
                </a:lnTo>
                <a:lnTo>
                  <a:pt x="812" y="2991"/>
                </a:lnTo>
                <a:lnTo>
                  <a:pt x="808" y="2974"/>
                </a:lnTo>
                <a:lnTo>
                  <a:pt x="777" y="2690"/>
                </a:lnTo>
                <a:lnTo>
                  <a:pt x="494" y="2733"/>
                </a:lnTo>
                <a:lnTo>
                  <a:pt x="475" y="2733"/>
                </a:lnTo>
                <a:lnTo>
                  <a:pt x="458" y="2730"/>
                </a:lnTo>
                <a:lnTo>
                  <a:pt x="442" y="2722"/>
                </a:lnTo>
                <a:lnTo>
                  <a:pt x="428" y="2709"/>
                </a:lnTo>
                <a:lnTo>
                  <a:pt x="418" y="2694"/>
                </a:lnTo>
                <a:lnTo>
                  <a:pt x="411" y="2678"/>
                </a:lnTo>
                <a:lnTo>
                  <a:pt x="409" y="2661"/>
                </a:lnTo>
                <a:lnTo>
                  <a:pt x="411" y="2643"/>
                </a:lnTo>
                <a:lnTo>
                  <a:pt x="477" y="2358"/>
                </a:lnTo>
                <a:lnTo>
                  <a:pt x="184" y="2301"/>
                </a:lnTo>
                <a:lnTo>
                  <a:pt x="168" y="2295"/>
                </a:lnTo>
                <a:lnTo>
                  <a:pt x="152" y="2286"/>
                </a:lnTo>
                <a:lnTo>
                  <a:pt x="140" y="2274"/>
                </a:lnTo>
                <a:lnTo>
                  <a:pt x="131" y="2258"/>
                </a:lnTo>
                <a:lnTo>
                  <a:pt x="126" y="2241"/>
                </a:lnTo>
                <a:lnTo>
                  <a:pt x="125" y="2224"/>
                </a:lnTo>
                <a:lnTo>
                  <a:pt x="128" y="2207"/>
                </a:lnTo>
                <a:lnTo>
                  <a:pt x="136" y="2191"/>
                </a:lnTo>
                <a:lnTo>
                  <a:pt x="293" y="1940"/>
                </a:lnTo>
                <a:lnTo>
                  <a:pt x="38" y="1804"/>
                </a:lnTo>
                <a:lnTo>
                  <a:pt x="24" y="1794"/>
                </a:lnTo>
                <a:lnTo>
                  <a:pt x="12" y="1780"/>
                </a:lnTo>
                <a:lnTo>
                  <a:pt x="4" y="1765"/>
                </a:lnTo>
                <a:lnTo>
                  <a:pt x="0" y="1746"/>
                </a:lnTo>
                <a:lnTo>
                  <a:pt x="1" y="1728"/>
                </a:lnTo>
                <a:lnTo>
                  <a:pt x="6" y="1711"/>
                </a:lnTo>
                <a:lnTo>
                  <a:pt x="14" y="1696"/>
                </a:lnTo>
                <a:lnTo>
                  <a:pt x="27" y="1683"/>
                </a:lnTo>
                <a:lnTo>
                  <a:pt x="257" y="1494"/>
                </a:lnTo>
                <a:lnTo>
                  <a:pt x="65" y="1284"/>
                </a:lnTo>
                <a:lnTo>
                  <a:pt x="53" y="1270"/>
                </a:lnTo>
                <a:lnTo>
                  <a:pt x="47" y="1253"/>
                </a:lnTo>
                <a:lnTo>
                  <a:pt x="45" y="1236"/>
                </a:lnTo>
                <a:lnTo>
                  <a:pt x="47" y="1218"/>
                </a:lnTo>
                <a:lnTo>
                  <a:pt x="53" y="1202"/>
                </a:lnTo>
                <a:lnTo>
                  <a:pt x="64" y="1187"/>
                </a:lnTo>
                <a:lnTo>
                  <a:pt x="77" y="1175"/>
                </a:lnTo>
                <a:lnTo>
                  <a:pt x="93" y="1167"/>
                </a:lnTo>
                <a:lnTo>
                  <a:pt x="363" y="1064"/>
                </a:lnTo>
                <a:lnTo>
                  <a:pt x="254" y="804"/>
                </a:lnTo>
                <a:lnTo>
                  <a:pt x="250" y="785"/>
                </a:lnTo>
                <a:lnTo>
                  <a:pt x="249" y="768"/>
                </a:lnTo>
                <a:lnTo>
                  <a:pt x="253" y="751"/>
                </a:lnTo>
                <a:lnTo>
                  <a:pt x="260" y="735"/>
                </a:lnTo>
                <a:lnTo>
                  <a:pt x="273" y="721"/>
                </a:lnTo>
                <a:lnTo>
                  <a:pt x="287" y="711"/>
                </a:lnTo>
                <a:lnTo>
                  <a:pt x="304" y="704"/>
                </a:lnTo>
                <a:lnTo>
                  <a:pt x="321" y="701"/>
                </a:lnTo>
                <a:lnTo>
                  <a:pt x="611" y="695"/>
                </a:lnTo>
                <a:lnTo>
                  <a:pt x="598" y="402"/>
                </a:lnTo>
                <a:lnTo>
                  <a:pt x="600" y="385"/>
                </a:lnTo>
                <a:lnTo>
                  <a:pt x="605" y="368"/>
                </a:lnTo>
                <a:lnTo>
                  <a:pt x="614" y="354"/>
                </a:lnTo>
                <a:lnTo>
                  <a:pt x="627" y="341"/>
                </a:lnTo>
                <a:lnTo>
                  <a:pt x="642" y="332"/>
                </a:lnTo>
                <a:lnTo>
                  <a:pt x="659" y="327"/>
                </a:lnTo>
                <a:lnTo>
                  <a:pt x="676" y="326"/>
                </a:lnTo>
                <a:lnTo>
                  <a:pt x="693" y="329"/>
                </a:lnTo>
                <a:lnTo>
                  <a:pt x="970" y="416"/>
                </a:lnTo>
                <a:lnTo>
                  <a:pt x="1044" y="137"/>
                </a:lnTo>
                <a:lnTo>
                  <a:pt x="1050" y="121"/>
                </a:lnTo>
                <a:lnTo>
                  <a:pt x="1060" y="106"/>
                </a:lnTo>
                <a:lnTo>
                  <a:pt x="1074" y="95"/>
                </a:lnTo>
                <a:lnTo>
                  <a:pt x="1090" y="87"/>
                </a:lnTo>
                <a:lnTo>
                  <a:pt x="1108" y="83"/>
                </a:lnTo>
                <a:lnTo>
                  <a:pt x="1125" y="84"/>
                </a:lnTo>
                <a:lnTo>
                  <a:pt x="1143" y="88"/>
                </a:lnTo>
                <a:lnTo>
                  <a:pt x="1158" y="97"/>
                </a:lnTo>
                <a:lnTo>
                  <a:pt x="1394" y="269"/>
                </a:lnTo>
                <a:lnTo>
                  <a:pt x="1562" y="31"/>
                </a:lnTo>
                <a:lnTo>
                  <a:pt x="1574" y="18"/>
                </a:lnTo>
                <a:lnTo>
                  <a:pt x="1588" y="9"/>
                </a:lnTo>
                <a:lnTo>
                  <a:pt x="1604" y="3"/>
                </a:lnTo>
                <a:lnTo>
                  <a:pt x="1623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FFFFFF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" name="任意多边形 6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 noEditPoints="1"/>
          </xdr:cNvSpPr>
        </xdr:nvSpPr>
        <xdr:spPr bwMode="auto">
          <a:xfrm>
            <a:off x="704" y="851"/>
            <a:ext cx="26" cy="26"/>
          </a:xfrm>
          <a:custGeom>
            <a:avLst/>
            <a:gdLst>
              <a:gd name="T0" fmla="*/ 866 w 1889"/>
              <a:gd name="T1" fmla="*/ 1272 h 1877"/>
              <a:gd name="T2" fmla="*/ 799 w 1889"/>
              <a:gd name="T3" fmla="*/ 1339 h 1877"/>
              <a:gd name="T4" fmla="*/ 772 w 1889"/>
              <a:gd name="T5" fmla="*/ 1435 h 1877"/>
              <a:gd name="T6" fmla="*/ 798 w 1889"/>
              <a:gd name="T7" fmla="*/ 1530 h 1877"/>
              <a:gd name="T8" fmla="*/ 866 w 1889"/>
              <a:gd name="T9" fmla="*/ 1597 h 1877"/>
              <a:gd name="T10" fmla="*/ 961 w 1889"/>
              <a:gd name="T11" fmla="*/ 1622 h 1877"/>
              <a:gd name="T12" fmla="*/ 1057 w 1889"/>
              <a:gd name="T13" fmla="*/ 1597 h 1877"/>
              <a:gd name="T14" fmla="*/ 1125 w 1889"/>
              <a:gd name="T15" fmla="*/ 1530 h 1877"/>
              <a:gd name="T16" fmla="*/ 1150 w 1889"/>
              <a:gd name="T17" fmla="*/ 1435 h 1877"/>
              <a:gd name="T18" fmla="*/ 1128 w 1889"/>
              <a:gd name="T19" fmla="*/ 1347 h 1877"/>
              <a:gd name="T20" fmla="*/ 1070 w 1889"/>
              <a:gd name="T21" fmla="*/ 1281 h 1877"/>
              <a:gd name="T22" fmla="*/ 1017 w 1889"/>
              <a:gd name="T23" fmla="*/ 722 h 1877"/>
              <a:gd name="T24" fmla="*/ 1281 w 1889"/>
              <a:gd name="T25" fmla="*/ 532 h 1877"/>
              <a:gd name="T26" fmla="*/ 1448 w 1889"/>
              <a:gd name="T27" fmla="*/ 366 h 1877"/>
              <a:gd name="T28" fmla="*/ 540 w 1889"/>
              <a:gd name="T29" fmla="*/ 616 h 1877"/>
              <a:gd name="T30" fmla="*/ 709 w 1889"/>
              <a:gd name="T31" fmla="*/ 214 h 1877"/>
              <a:gd name="T32" fmla="*/ 808 w 1889"/>
              <a:gd name="T33" fmla="*/ 426 h 1877"/>
              <a:gd name="T34" fmla="*/ 1102 w 1889"/>
              <a:gd name="T35" fmla="*/ 426 h 1877"/>
              <a:gd name="T36" fmla="*/ 1201 w 1889"/>
              <a:gd name="T37" fmla="*/ 214 h 1877"/>
              <a:gd name="T38" fmla="*/ 1020 w 1889"/>
              <a:gd name="T39" fmla="*/ 412 h 1877"/>
              <a:gd name="T40" fmla="*/ 945 w 1889"/>
              <a:gd name="T41" fmla="*/ 0 h 1877"/>
              <a:gd name="T42" fmla="*/ 1171 w 1889"/>
              <a:gd name="T43" fmla="*/ 27 h 1877"/>
              <a:gd name="T44" fmla="*/ 1379 w 1889"/>
              <a:gd name="T45" fmla="*/ 104 h 1877"/>
              <a:gd name="T46" fmla="*/ 1559 w 1889"/>
              <a:gd name="T47" fmla="*/ 226 h 1877"/>
              <a:gd name="T48" fmla="*/ 1707 w 1889"/>
              <a:gd name="T49" fmla="*/ 384 h 1877"/>
              <a:gd name="T50" fmla="*/ 1815 w 1889"/>
              <a:gd name="T51" fmla="*/ 573 h 1877"/>
              <a:gd name="T52" fmla="*/ 1877 w 1889"/>
              <a:gd name="T53" fmla="*/ 787 h 1877"/>
              <a:gd name="T54" fmla="*/ 1886 w 1889"/>
              <a:gd name="T55" fmla="*/ 1015 h 1877"/>
              <a:gd name="T56" fmla="*/ 1840 w 1889"/>
              <a:gd name="T57" fmla="*/ 1235 h 1877"/>
              <a:gd name="T58" fmla="*/ 1748 w 1889"/>
              <a:gd name="T59" fmla="*/ 1433 h 1877"/>
              <a:gd name="T60" fmla="*/ 1612 w 1889"/>
              <a:gd name="T61" fmla="*/ 1602 h 1877"/>
              <a:gd name="T62" fmla="*/ 1442 w 1889"/>
              <a:gd name="T63" fmla="*/ 1736 h 1877"/>
              <a:gd name="T64" fmla="*/ 1243 w 1889"/>
              <a:gd name="T65" fmla="*/ 1829 h 1877"/>
              <a:gd name="T66" fmla="*/ 1022 w 1889"/>
              <a:gd name="T67" fmla="*/ 1874 h 1877"/>
              <a:gd name="T68" fmla="*/ 792 w 1889"/>
              <a:gd name="T69" fmla="*/ 1865 h 1877"/>
              <a:gd name="T70" fmla="*/ 577 w 1889"/>
              <a:gd name="T71" fmla="*/ 1804 h 1877"/>
              <a:gd name="T72" fmla="*/ 387 w 1889"/>
              <a:gd name="T73" fmla="*/ 1696 h 1877"/>
              <a:gd name="T74" fmla="*/ 227 w 1889"/>
              <a:gd name="T75" fmla="*/ 1549 h 1877"/>
              <a:gd name="T76" fmla="*/ 106 w 1889"/>
              <a:gd name="T77" fmla="*/ 1369 h 1877"/>
              <a:gd name="T78" fmla="*/ 28 w 1889"/>
              <a:gd name="T79" fmla="*/ 1164 h 1877"/>
              <a:gd name="T80" fmla="*/ 0 w 1889"/>
              <a:gd name="T81" fmla="*/ 939 h 1877"/>
              <a:gd name="T82" fmla="*/ 28 w 1889"/>
              <a:gd name="T83" fmla="*/ 713 h 1877"/>
              <a:gd name="T84" fmla="*/ 106 w 1889"/>
              <a:gd name="T85" fmla="*/ 508 h 1877"/>
              <a:gd name="T86" fmla="*/ 227 w 1889"/>
              <a:gd name="T87" fmla="*/ 328 h 1877"/>
              <a:gd name="T88" fmla="*/ 387 w 1889"/>
              <a:gd name="T89" fmla="*/ 181 h 1877"/>
              <a:gd name="T90" fmla="*/ 577 w 1889"/>
              <a:gd name="T91" fmla="*/ 73 h 1877"/>
              <a:gd name="T92" fmla="*/ 792 w 1889"/>
              <a:gd name="T93" fmla="*/ 12 h 18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89" h="1877">
                <a:moveTo>
                  <a:pt x="897" y="722"/>
                </a:moveTo>
                <a:lnTo>
                  <a:pt x="897" y="1259"/>
                </a:lnTo>
                <a:lnTo>
                  <a:pt x="866" y="1272"/>
                </a:lnTo>
                <a:lnTo>
                  <a:pt x="840" y="1291"/>
                </a:lnTo>
                <a:lnTo>
                  <a:pt x="817" y="1313"/>
                </a:lnTo>
                <a:lnTo>
                  <a:pt x="799" y="1339"/>
                </a:lnTo>
                <a:lnTo>
                  <a:pt x="785" y="1369"/>
                </a:lnTo>
                <a:lnTo>
                  <a:pt x="775" y="1400"/>
                </a:lnTo>
                <a:lnTo>
                  <a:pt x="772" y="1435"/>
                </a:lnTo>
                <a:lnTo>
                  <a:pt x="775" y="1469"/>
                </a:lnTo>
                <a:lnTo>
                  <a:pt x="784" y="1500"/>
                </a:lnTo>
                <a:lnTo>
                  <a:pt x="798" y="1530"/>
                </a:lnTo>
                <a:lnTo>
                  <a:pt x="817" y="1556"/>
                </a:lnTo>
                <a:lnTo>
                  <a:pt x="839" y="1578"/>
                </a:lnTo>
                <a:lnTo>
                  <a:pt x="866" y="1597"/>
                </a:lnTo>
                <a:lnTo>
                  <a:pt x="896" y="1611"/>
                </a:lnTo>
                <a:lnTo>
                  <a:pt x="927" y="1619"/>
                </a:lnTo>
                <a:lnTo>
                  <a:pt x="961" y="1622"/>
                </a:lnTo>
                <a:lnTo>
                  <a:pt x="996" y="1619"/>
                </a:lnTo>
                <a:lnTo>
                  <a:pt x="1027" y="1611"/>
                </a:lnTo>
                <a:lnTo>
                  <a:pt x="1057" y="1597"/>
                </a:lnTo>
                <a:lnTo>
                  <a:pt x="1083" y="1578"/>
                </a:lnTo>
                <a:lnTo>
                  <a:pt x="1106" y="1556"/>
                </a:lnTo>
                <a:lnTo>
                  <a:pt x="1125" y="1530"/>
                </a:lnTo>
                <a:lnTo>
                  <a:pt x="1138" y="1500"/>
                </a:lnTo>
                <a:lnTo>
                  <a:pt x="1147" y="1469"/>
                </a:lnTo>
                <a:lnTo>
                  <a:pt x="1150" y="1435"/>
                </a:lnTo>
                <a:lnTo>
                  <a:pt x="1148" y="1403"/>
                </a:lnTo>
                <a:lnTo>
                  <a:pt x="1140" y="1374"/>
                </a:lnTo>
                <a:lnTo>
                  <a:pt x="1128" y="1347"/>
                </a:lnTo>
                <a:lnTo>
                  <a:pt x="1113" y="1322"/>
                </a:lnTo>
                <a:lnTo>
                  <a:pt x="1092" y="1300"/>
                </a:lnTo>
                <a:lnTo>
                  <a:pt x="1070" y="1281"/>
                </a:lnTo>
                <a:lnTo>
                  <a:pt x="1044" y="1266"/>
                </a:lnTo>
                <a:lnTo>
                  <a:pt x="1017" y="1255"/>
                </a:lnTo>
                <a:lnTo>
                  <a:pt x="1017" y="722"/>
                </a:lnTo>
                <a:lnTo>
                  <a:pt x="897" y="722"/>
                </a:lnTo>
                <a:close/>
                <a:moveTo>
                  <a:pt x="1448" y="366"/>
                </a:moveTo>
                <a:lnTo>
                  <a:pt x="1281" y="532"/>
                </a:lnTo>
                <a:lnTo>
                  <a:pt x="1366" y="616"/>
                </a:lnTo>
                <a:lnTo>
                  <a:pt x="1533" y="450"/>
                </a:lnTo>
                <a:lnTo>
                  <a:pt x="1448" y="366"/>
                </a:lnTo>
                <a:close/>
                <a:moveTo>
                  <a:pt x="459" y="366"/>
                </a:moveTo>
                <a:lnTo>
                  <a:pt x="374" y="450"/>
                </a:lnTo>
                <a:lnTo>
                  <a:pt x="540" y="616"/>
                </a:lnTo>
                <a:lnTo>
                  <a:pt x="625" y="532"/>
                </a:lnTo>
                <a:lnTo>
                  <a:pt x="459" y="366"/>
                </a:lnTo>
                <a:close/>
                <a:moveTo>
                  <a:pt x="709" y="214"/>
                </a:moveTo>
                <a:lnTo>
                  <a:pt x="600" y="264"/>
                </a:lnTo>
                <a:lnTo>
                  <a:pt x="699" y="477"/>
                </a:lnTo>
                <a:lnTo>
                  <a:pt x="808" y="426"/>
                </a:lnTo>
                <a:lnTo>
                  <a:pt x="709" y="214"/>
                </a:lnTo>
                <a:close/>
                <a:moveTo>
                  <a:pt x="1201" y="214"/>
                </a:moveTo>
                <a:lnTo>
                  <a:pt x="1102" y="426"/>
                </a:lnTo>
                <a:lnTo>
                  <a:pt x="1211" y="477"/>
                </a:lnTo>
                <a:lnTo>
                  <a:pt x="1310" y="264"/>
                </a:lnTo>
                <a:lnTo>
                  <a:pt x="1201" y="214"/>
                </a:lnTo>
                <a:close/>
                <a:moveTo>
                  <a:pt x="900" y="179"/>
                </a:moveTo>
                <a:lnTo>
                  <a:pt x="900" y="412"/>
                </a:lnTo>
                <a:lnTo>
                  <a:pt x="1020" y="412"/>
                </a:lnTo>
                <a:lnTo>
                  <a:pt x="1020" y="179"/>
                </a:lnTo>
                <a:lnTo>
                  <a:pt x="900" y="179"/>
                </a:lnTo>
                <a:close/>
                <a:moveTo>
                  <a:pt x="945" y="0"/>
                </a:moveTo>
                <a:lnTo>
                  <a:pt x="1022" y="3"/>
                </a:lnTo>
                <a:lnTo>
                  <a:pt x="1097" y="12"/>
                </a:lnTo>
                <a:lnTo>
                  <a:pt x="1171" y="27"/>
                </a:lnTo>
                <a:lnTo>
                  <a:pt x="1243" y="48"/>
                </a:lnTo>
                <a:lnTo>
                  <a:pt x="1312" y="73"/>
                </a:lnTo>
                <a:lnTo>
                  <a:pt x="1379" y="104"/>
                </a:lnTo>
                <a:lnTo>
                  <a:pt x="1442" y="141"/>
                </a:lnTo>
                <a:lnTo>
                  <a:pt x="1502" y="181"/>
                </a:lnTo>
                <a:lnTo>
                  <a:pt x="1559" y="226"/>
                </a:lnTo>
                <a:lnTo>
                  <a:pt x="1612" y="275"/>
                </a:lnTo>
                <a:lnTo>
                  <a:pt x="1662" y="328"/>
                </a:lnTo>
                <a:lnTo>
                  <a:pt x="1707" y="384"/>
                </a:lnTo>
                <a:lnTo>
                  <a:pt x="1748" y="444"/>
                </a:lnTo>
                <a:lnTo>
                  <a:pt x="1784" y="508"/>
                </a:lnTo>
                <a:lnTo>
                  <a:pt x="1815" y="573"/>
                </a:lnTo>
                <a:lnTo>
                  <a:pt x="1840" y="642"/>
                </a:lnTo>
                <a:lnTo>
                  <a:pt x="1862" y="713"/>
                </a:lnTo>
                <a:lnTo>
                  <a:pt x="1877" y="787"/>
                </a:lnTo>
                <a:lnTo>
                  <a:pt x="1886" y="862"/>
                </a:lnTo>
                <a:lnTo>
                  <a:pt x="1889" y="939"/>
                </a:lnTo>
                <a:lnTo>
                  <a:pt x="1886" y="1015"/>
                </a:lnTo>
                <a:lnTo>
                  <a:pt x="1877" y="1090"/>
                </a:lnTo>
                <a:lnTo>
                  <a:pt x="1862" y="1164"/>
                </a:lnTo>
                <a:lnTo>
                  <a:pt x="1840" y="1235"/>
                </a:lnTo>
                <a:lnTo>
                  <a:pt x="1815" y="1304"/>
                </a:lnTo>
                <a:lnTo>
                  <a:pt x="1784" y="1369"/>
                </a:lnTo>
                <a:lnTo>
                  <a:pt x="1748" y="1433"/>
                </a:lnTo>
                <a:lnTo>
                  <a:pt x="1707" y="1493"/>
                </a:lnTo>
                <a:lnTo>
                  <a:pt x="1662" y="1549"/>
                </a:lnTo>
                <a:lnTo>
                  <a:pt x="1612" y="1602"/>
                </a:lnTo>
                <a:lnTo>
                  <a:pt x="1559" y="1651"/>
                </a:lnTo>
                <a:lnTo>
                  <a:pt x="1502" y="1696"/>
                </a:lnTo>
                <a:lnTo>
                  <a:pt x="1442" y="1736"/>
                </a:lnTo>
                <a:lnTo>
                  <a:pt x="1379" y="1773"/>
                </a:lnTo>
                <a:lnTo>
                  <a:pt x="1312" y="1804"/>
                </a:lnTo>
                <a:lnTo>
                  <a:pt x="1243" y="1829"/>
                </a:lnTo>
                <a:lnTo>
                  <a:pt x="1171" y="1850"/>
                </a:lnTo>
                <a:lnTo>
                  <a:pt x="1097" y="1865"/>
                </a:lnTo>
                <a:lnTo>
                  <a:pt x="1022" y="1874"/>
                </a:lnTo>
                <a:lnTo>
                  <a:pt x="945" y="1877"/>
                </a:lnTo>
                <a:lnTo>
                  <a:pt x="867" y="1874"/>
                </a:lnTo>
                <a:lnTo>
                  <a:pt x="792" y="1865"/>
                </a:lnTo>
                <a:lnTo>
                  <a:pt x="718" y="1850"/>
                </a:lnTo>
                <a:lnTo>
                  <a:pt x="646" y="1829"/>
                </a:lnTo>
                <a:lnTo>
                  <a:pt x="577" y="1804"/>
                </a:lnTo>
                <a:lnTo>
                  <a:pt x="511" y="1773"/>
                </a:lnTo>
                <a:lnTo>
                  <a:pt x="447" y="1736"/>
                </a:lnTo>
                <a:lnTo>
                  <a:pt x="387" y="1696"/>
                </a:lnTo>
                <a:lnTo>
                  <a:pt x="330" y="1651"/>
                </a:lnTo>
                <a:lnTo>
                  <a:pt x="277" y="1602"/>
                </a:lnTo>
                <a:lnTo>
                  <a:pt x="227" y="1549"/>
                </a:lnTo>
                <a:lnTo>
                  <a:pt x="183" y="1493"/>
                </a:lnTo>
                <a:lnTo>
                  <a:pt x="142" y="1433"/>
                </a:lnTo>
                <a:lnTo>
                  <a:pt x="106" y="1369"/>
                </a:lnTo>
                <a:lnTo>
                  <a:pt x="75" y="1304"/>
                </a:lnTo>
                <a:lnTo>
                  <a:pt x="49" y="1235"/>
                </a:lnTo>
                <a:lnTo>
                  <a:pt x="28" y="1164"/>
                </a:lnTo>
                <a:lnTo>
                  <a:pt x="12" y="1090"/>
                </a:lnTo>
                <a:lnTo>
                  <a:pt x="3" y="1015"/>
                </a:lnTo>
                <a:lnTo>
                  <a:pt x="0" y="939"/>
                </a:lnTo>
                <a:lnTo>
                  <a:pt x="3" y="862"/>
                </a:lnTo>
                <a:lnTo>
                  <a:pt x="12" y="787"/>
                </a:lnTo>
                <a:lnTo>
                  <a:pt x="28" y="713"/>
                </a:lnTo>
                <a:lnTo>
                  <a:pt x="49" y="642"/>
                </a:lnTo>
                <a:lnTo>
                  <a:pt x="75" y="573"/>
                </a:lnTo>
                <a:lnTo>
                  <a:pt x="106" y="508"/>
                </a:lnTo>
                <a:lnTo>
                  <a:pt x="142" y="444"/>
                </a:lnTo>
                <a:lnTo>
                  <a:pt x="183" y="384"/>
                </a:lnTo>
                <a:lnTo>
                  <a:pt x="227" y="328"/>
                </a:lnTo>
                <a:lnTo>
                  <a:pt x="277" y="275"/>
                </a:lnTo>
                <a:lnTo>
                  <a:pt x="330" y="226"/>
                </a:lnTo>
                <a:lnTo>
                  <a:pt x="387" y="181"/>
                </a:lnTo>
                <a:lnTo>
                  <a:pt x="447" y="141"/>
                </a:lnTo>
                <a:lnTo>
                  <a:pt x="511" y="104"/>
                </a:lnTo>
                <a:lnTo>
                  <a:pt x="577" y="73"/>
                </a:lnTo>
                <a:lnTo>
                  <a:pt x="646" y="48"/>
                </a:lnTo>
                <a:lnTo>
                  <a:pt x="718" y="27"/>
                </a:lnTo>
                <a:lnTo>
                  <a:pt x="792" y="12"/>
                </a:lnTo>
                <a:lnTo>
                  <a:pt x="867" y="3"/>
                </a:lnTo>
                <a:lnTo>
                  <a:pt x="945" y="0"/>
                </a:lnTo>
                <a:close/>
              </a:path>
            </a:pathLst>
          </a:custGeom>
          <a:solidFill>
            <a:schemeClr val="tx2"/>
          </a:solidFill>
          <a:ln w="0">
            <a:solidFill>
              <a:schemeClr val="tx2"/>
            </a:solidFill>
            <a:prstDash val="solid"/>
            <a:round/>
            <a:headEnd/>
            <a:tailEnd/>
          </a:ln>
        </xdr:spPr>
      </xdr:sp>
    </xdr:grpSp>
    <xdr:clientData fPrintsWithSheet="0"/>
  </xdr:twoCellAnchor>
  <xdr:twoCellAnchor>
    <xdr:from>
      <xdr:col>2</xdr:col>
      <xdr:colOff>123824</xdr:colOff>
      <xdr:row>19</xdr:row>
      <xdr:rowOff>9522</xdr:rowOff>
    </xdr:from>
    <xdr:to>
      <xdr:col>9</xdr:col>
      <xdr:colOff>495300</xdr:colOff>
      <xdr:row>24</xdr:row>
      <xdr:rowOff>152399</xdr:rowOff>
    </xdr:to>
    <xdr:sp macro="" textlink="">
      <xdr:nvSpPr>
        <xdr:cNvPr id="3" name="提示 1" descr="要配置您的费用表，请执行以下操作：单击标题单元格（如 B21）,并从下拉列表中选择首选支出类别。各个支出项目（如“电话”）也有下拉列表，因此您可以对列表项进行排序或添加新列表项。 &#10;&#10;要删除模板提示，请执行以下操作：单击提示边缘以将其选中，然后按 Delete。&#10;" title="要配置您的费用表，请执行以下操作：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04999" y="4219572"/>
          <a:ext cx="4838701" cy="1190627"/>
        </a:xfrm>
        <a:prstGeom prst="wedgeRectCallout">
          <a:avLst>
            <a:gd name="adj1" fmla="val -55627"/>
            <a:gd name="adj2" fmla="val -21758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37160" rtlCol="0" anchor="t"/>
        <a:lstStyle/>
        <a:p>
          <a:pPr algn="l">
            <a:lnSpc>
              <a:spcPct val="110000"/>
            </a:lnSpc>
          </a:pPr>
          <a:r>
            <a:rPr lang="zh-CN" altLang="en-US" sz="900" b="1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要配置您的费用表，请执行以下操作：</a:t>
          </a:r>
          <a:r>
            <a:rPr lang="zh-CN" altLang="en-US" sz="900" b="0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单击标题单元格</a:t>
          </a:r>
          <a:r>
            <a:rPr lang="zh-CN" altLang="en-US" sz="900" b="1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（如 </a:t>
          </a:r>
          <a:r>
            <a:rPr lang="en-US" sz="900" b="1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B21）</a:t>
          </a:r>
          <a:r>
            <a:rPr lang="en-US" sz="900" b="0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,</a:t>
          </a:r>
          <a:r>
            <a:rPr lang="zh-CN" altLang="en-US" sz="900" b="0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并从下拉列表中选择首选支出类别。各个支出项目（如“电话”）也有下拉列表，因此您可以对列表项进行排序或添加新列表项。 </a:t>
          </a:r>
        </a:p>
        <a:p>
          <a:pPr algn="l">
            <a:lnSpc>
              <a:spcPct val="110000"/>
            </a:lnSpc>
          </a:pPr>
          <a:endParaRPr lang="zh-CN" altLang="en-US" sz="900" b="0">
            <a:solidFill>
              <a:schemeClr val="tx2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>
            <a:lnSpc>
              <a:spcPct val="110000"/>
            </a:lnSpc>
          </a:pPr>
          <a:r>
            <a:rPr lang="zh-CN" altLang="en-US" sz="900" b="1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要删除模板提示，请执行以下操作：</a:t>
          </a:r>
          <a:r>
            <a:rPr lang="zh-CN" altLang="en-US" sz="900" b="0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单击提示边缘以将其选中，然后按 </a:t>
          </a:r>
          <a:r>
            <a:rPr lang="en-US" sz="900" b="1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Delete</a:t>
          </a:r>
          <a:r>
            <a:rPr lang="en-US" sz="900" b="0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</a:p>
      </xdr:txBody>
    </xdr:sp>
    <xdr:clientData/>
  </xdr:twoCellAnchor>
  <xdr:twoCellAnchor>
    <xdr:from>
      <xdr:col>17</xdr:col>
      <xdr:colOff>161926</xdr:colOff>
      <xdr:row>22</xdr:row>
      <xdr:rowOff>66672</xdr:rowOff>
    </xdr:from>
    <xdr:to>
      <xdr:col>20</xdr:col>
      <xdr:colOff>257175</xdr:colOff>
      <xdr:row>26</xdr:row>
      <xdr:rowOff>152399</xdr:rowOff>
    </xdr:to>
    <xdr:sp macro="" textlink="">
      <xdr:nvSpPr>
        <xdr:cNvPr id="13" name="提示 2" descr="在“总计”上方的最后一个单元格（如 P26）中，按 Tab 键。" title="要添加更多行，请执行以下操作：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0925176" y="4905372"/>
          <a:ext cx="1924049" cy="923927"/>
        </a:xfrm>
        <a:prstGeom prst="wedgeRectCallout">
          <a:avLst>
            <a:gd name="adj1" fmla="val -63854"/>
            <a:gd name="adj2" fmla="val -20806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>
            <a:lnSpc>
              <a:spcPct val="110000"/>
            </a:lnSpc>
          </a:pPr>
          <a:r>
            <a:rPr lang="zh-CN" altLang="en-US" sz="900" b="1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要添加更多行，请执行以下操作：</a:t>
          </a:r>
          <a:r>
            <a:rPr lang="zh-CN" altLang="en-US" sz="900" b="0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在“总计”上方的最后一个单元格</a:t>
          </a:r>
          <a:r>
            <a:rPr lang="zh-CN" altLang="en-US" sz="900" b="1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（如 </a:t>
          </a:r>
          <a:r>
            <a:rPr lang="en-US" sz="900" b="1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P26）</a:t>
          </a:r>
          <a:r>
            <a:rPr lang="zh-CN" altLang="en-US" sz="900" b="0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中，按 </a:t>
          </a:r>
          <a:r>
            <a:rPr lang="en-US" sz="900" b="1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Tab</a:t>
          </a:r>
          <a:r>
            <a:rPr lang="en-US" sz="900" b="0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900" b="0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键。</a:t>
          </a:r>
          <a:endParaRPr lang="en-US" sz="900" b="0">
            <a:solidFill>
              <a:schemeClr val="tx2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0</xdr:row>
      <xdr:rowOff>361956</xdr:rowOff>
    </xdr:from>
    <xdr:to>
      <xdr:col>3</xdr:col>
      <xdr:colOff>235839</xdr:colOff>
      <xdr:row>2</xdr:row>
      <xdr:rowOff>45345</xdr:rowOff>
    </xdr:to>
    <xdr:grpSp>
      <xdr:nvGrpSpPr>
        <xdr:cNvPr id="2" name="支出图标" descr="&quot;&quot;" title="支出图标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>
          <a:grpSpLocks noChangeAspect="1"/>
        </xdr:cNvGrpSpPr>
      </xdr:nvGrpSpPr>
      <xdr:grpSpPr bwMode="auto">
        <a:xfrm>
          <a:off x="2190750" y="361956"/>
          <a:ext cx="397764" cy="464439"/>
          <a:chOff x="436" y="814"/>
          <a:chExt cx="56" cy="56"/>
        </a:xfrm>
      </xdr:grpSpPr>
      <xdr:sp macro="" textlink="">
        <xdr:nvSpPr>
          <xdr:cNvPr id="3" name="矩形 4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436" y="814"/>
            <a:ext cx="56" cy="56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" name="任意多边形 4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>
            <a:spLocks/>
          </xdr:cNvSpPr>
        </xdr:nvSpPr>
        <xdr:spPr bwMode="auto">
          <a:xfrm>
            <a:off x="436" y="815"/>
            <a:ext cx="55" cy="55"/>
          </a:xfrm>
          <a:custGeom>
            <a:avLst/>
            <a:gdLst>
              <a:gd name="T0" fmla="*/ 1676 w 3245"/>
              <a:gd name="T1" fmla="*/ 19 h 3231"/>
              <a:gd name="T2" fmla="*/ 2102 w 3245"/>
              <a:gd name="T3" fmla="*/ 90 h 3231"/>
              <a:gd name="T4" fmla="*/ 2170 w 3245"/>
              <a:gd name="T5" fmla="*/ 96 h 3231"/>
              <a:gd name="T6" fmla="*/ 2278 w 3245"/>
              <a:gd name="T7" fmla="*/ 421 h 3231"/>
              <a:gd name="T8" fmla="*/ 2608 w 3245"/>
              <a:gd name="T9" fmla="*/ 337 h 3231"/>
              <a:gd name="T10" fmla="*/ 2651 w 3245"/>
              <a:gd name="T11" fmla="*/ 391 h 3231"/>
              <a:gd name="T12" fmla="*/ 2941 w 3245"/>
              <a:gd name="T13" fmla="*/ 711 h 3231"/>
              <a:gd name="T14" fmla="*/ 2993 w 3245"/>
              <a:gd name="T15" fmla="*/ 758 h 3231"/>
              <a:gd name="T16" fmla="*/ 2879 w 3245"/>
              <a:gd name="T17" fmla="*/ 1074 h 3231"/>
              <a:gd name="T18" fmla="*/ 3192 w 3245"/>
              <a:gd name="T19" fmla="*/ 1212 h 3231"/>
              <a:gd name="T20" fmla="*/ 3192 w 3245"/>
              <a:gd name="T21" fmla="*/ 1280 h 3231"/>
              <a:gd name="T22" fmla="*/ 3232 w 3245"/>
              <a:gd name="T23" fmla="*/ 1712 h 3231"/>
              <a:gd name="T24" fmla="*/ 3241 w 3245"/>
              <a:gd name="T25" fmla="*/ 1780 h 3231"/>
              <a:gd name="T26" fmla="*/ 2950 w 3245"/>
              <a:gd name="T27" fmla="*/ 1957 h 3231"/>
              <a:gd name="T28" fmla="*/ 3120 w 3245"/>
              <a:gd name="T29" fmla="*/ 2261 h 3231"/>
              <a:gd name="T30" fmla="*/ 3079 w 3245"/>
              <a:gd name="T31" fmla="*/ 2316 h 3231"/>
              <a:gd name="T32" fmla="*/ 2841 w 3245"/>
              <a:gd name="T33" fmla="*/ 2684 h 3231"/>
              <a:gd name="T34" fmla="*/ 2808 w 3245"/>
              <a:gd name="T35" fmla="*/ 2744 h 3231"/>
              <a:gd name="T36" fmla="*/ 2472 w 3245"/>
              <a:gd name="T37" fmla="*/ 2714 h 3231"/>
              <a:gd name="T38" fmla="*/ 2414 w 3245"/>
              <a:gd name="T39" fmla="*/ 3047 h 3231"/>
              <a:gd name="T40" fmla="*/ 2348 w 3245"/>
              <a:gd name="T41" fmla="*/ 3064 h 3231"/>
              <a:gd name="T42" fmla="*/ 1938 w 3245"/>
              <a:gd name="T43" fmla="*/ 3203 h 3231"/>
              <a:gd name="T44" fmla="*/ 1886 w 3245"/>
              <a:gd name="T45" fmla="*/ 3230 h 3231"/>
              <a:gd name="T46" fmla="*/ 1827 w 3245"/>
              <a:gd name="T47" fmla="*/ 3207 h 3231"/>
              <a:gd name="T48" fmla="*/ 1389 w 3245"/>
              <a:gd name="T49" fmla="*/ 3227 h 3231"/>
              <a:gd name="T50" fmla="*/ 1321 w 3245"/>
              <a:gd name="T51" fmla="*/ 3215 h 3231"/>
              <a:gd name="T52" fmla="*/ 916 w 3245"/>
              <a:gd name="T53" fmla="*/ 3058 h 3231"/>
              <a:gd name="T54" fmla="*/ 847 w 3245"/>
              <a:gd name="T55" fmla="*/ 3057 h 3231"/>
              <a:gd name="T56" fmla="*/ 809 w 3245"/>
              <a:gd name="T57" fmla="*/ 3000 h 3231"/>
              <a:gd name="T58" fmla="*/ 459 w 3245"/>
              <a:gd name="T59" fmla="*/ 2752 h 3231"/>
              <a:gd name="T60" fmla="*/ 412 w 3245"/>
              <a:gd name="T61" fmla="*/ 2702 h 3231"/>
              <a:gd name="T62" fmla="*/ 184 w 3245"/>
              <a:gd name="T63" fmla="*/ 2322 h 3231"/>
              <a:gd name="T64" fmla="*/ 131 w 3245"/>
              <a:gd name="T65" fmla="*/ 2279 h 3231"/>
              <a:gd name="T66" fmla="*/ 136 w 3245"/>
              <a:gd name="T67" fmla="*/ 2209 h 3231"/>
              <a:gd name="T68" fmla="*/ 12 w 3245"/>
              <a:gd name="T69" fmla="*/ 1796 h 3231"/>
              <a:gd name="T70" fmla="*/ 6 w 3245"/>
              <a:gd name="T71" fmla="*/ 1727 h 3231"/>
              <a:gd name="T72" fmla="*/ 64 w 3245"/>
              <a:gd name="T73" fmla="*/ 1296 h 3231"/>
              <a:gd name="T74" fmla="*/ 47 w 3245"/>
              <a:gd name="T75" fmla="*/ 1229 h 3231"/>
              <a:gd name="T76" fmla="*/ 93 w 3245"/>
              <a:gd name="T77" fmla="*/ 1177 h 3231"/>
              <a:gd name="T78" fmla="*/ 250 w 3245"/>
              <a:gd name="T79" fmla="*/ 775 h 3231"/>
              <a:gd name="T80" fmla="*/ 287 w 3245"/>
              <a:gd name="T81" fmla="*/ 718 h 3231"/>
              <a:gd name="T82" fmla="*/ 599 w 3245"/>
              <a:gd name="T83" fmla="*/ 407 h 3231"/>
              <a:gd name="T84" fmla="*/ 628 w 3245"/>
              <a:gd name="T85" fmla="*/ 345 h 3231"/>
              <a:gd name="T86" fmla="*/ 695 w 3245"/>
              <a:gd name="T87" fmla="*/ 333 h 3231"/>
              <a:gd name="T88" fmla="*/ 1063 w 3245"/>
              <a:gd name="T89" fmla="*/ 108 h 3231"/>
              <a:gd name="T90" fmla="*/ 1128 w 3245"/>
              <a:gd name="T91" fmla="*/ 85 h 3231"/>
              <a:gd name="T92" fmla="*/ 1565 w 3245"/>
              <a:gd name="T93" fmla="*/ 32 h 3231"/>
              <a:gd name="T94" fmla="*/ 1626 w 3245"/>
              <a:gd name="T95" fmla="*/ 0 h 32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245" h="3231">
                <a:moveTo>
                  <a:pt x="1626" y="0"/>
                </a:moveTo>
                <a:lnTo>
                  <a:pt x="1644" y="3"/>
                </a:lnTo>
                <a:lnTo>
                  <a:pt x="1661" y="9"/>
                </a:lnTo>
                <a:lnTo>
                  <a:pt x="1676" y="19"/>
                </a:lnTo>
                <a:lnTo>
                  <a:pt x="1688" y="33"/>
                </a:lnTo>
                <a:lnTo>
                  <a:pt x="1847" y="272"/>
                </a:lnTo>
                <a:lnTo>
                  <a:pt x="2086" y="98"/>
                </a:lnTo>
                <a:lnTo>
                  <a:pt x="2102" y="90"/>
                </a:lnTo>
                <a:lnTo>
                  <a:pt x="2119" y="85"/>
                </a:lnTo>
                <a:lnTo>
                  <a:pt x="2136" y="85"/>
                </a:lnTo>
                <a:lnTo>
                  <a:pt x="2154" y="89"/>
                </a:lnTo>
                <a:lnTo>
                  <a:pt x="2170" y="96"/>
                </a:lnTo>
                <a:lnTo>
                  <a:pt x="2183" y="108"/>
                </a:lnTo>
                <a:lnTo>
                  <a:pt x="2193" y="122"/>
                </a:lnTo>
                <a:lnTo>
                  <a:pt x="2200" y="139"/>
                </a:lnTo>
                <a:lnTo>
                  <a:pt x="2278" y="421"/>
                </a:lnTo>
                <a:lnTo>
                  <a:pt x="2556" y="333"/>
                </a:lnTo>
                <a:lnTo>
                  <a:pt x="2574" y="330"/>
                </a:lnTo>
                <a:lnTo>
                  <a:pt x="2591" y="331"/>
                </a:lnTo>
                <a:lnTo>
                  <a:pt x="2608" y="337"/>
                </a:lnTo>
                <a:lnTo>
                  <a:pt x="2624" y="346"/>
                </a:lnTo>
                <a:lnTo>
                  <a:pt x="2637" y="359"/>
                </a:lnTo>
                <a:lnTo>
                  <a:pt x="2646" y="374"/>
                </a:lnTo>
                <a:lnTo>
                  <a:pt x="2651" y="391"/>
                </a:lnTo>
                <a:lnTo>
                  <a:pt x="2652" y="409"/>
                </a:lnTo>
                <a:lnTo>
                  <a:pt x="2632" y="702"/>
                </a:lnTo>
                <a:lnTo>
                  <a:pt x="2924" y="708"/>
                </a:lnTo>
                <a:lnTo>
                  <a:pt x="2941" y="711"/>
                </a:lnTo>
                <a:lnTo>
                  <a:pt x="2958" y="718"/>
                </a:lnTo>
                <a:lnTo>
                  <a:pt x="2972" y="728"/>
                </a:lnTo>
                <a:lnTo>
                  <a:pt x="2985" y="742"/>
                </a:lnTo>
                <a:lnTo>
                  <a:pt x="2993" y="758"/>
                </a:lnTo>
                <a:lnTo>
                  <a:pt x="2996" y="776"/>
                </a:lnTo>
                <a:lnTo>
                  <a:pt x="2996" y="793"/>
                </a:lnTo>
                <a:lnTo>
                  <a:pt x="2991" y="811"/>
                </a:lnTo>
                <a:lnTo>
                  <a:pt x="2879" y="1074"/>
                </a:lnTo>
                <a:lnTo>
                  <a:pt x="3153" y="1177"/>
                </a:lnTo>
                <a:lnTo>
                  <a:pt x="3169" y="1185"/>
                </a:lnTo>
                <a:lnTo>
                  <a:pt x="3182" y="1197"/>
                </a:lnTo>
                <a:lnTo>
                  <a:pt x="3192" y="1212"/>
                </a:lnTo>
                <a:lnTo>
                  <a:pt x="3199" y="1229"/>
                </a:lnTo>
                <a:lnTo>
                  <a:pt x="3201" y="1246"/>
                </a:lnTo>
                <a:lnTo>
                  <a:pt x="3199" y="1264"/>
                </a:lnTo>
                <a:lnTo>
                  <a:pt x="3192" y="1280"/>
                </a:lnTo>
                <a:lnTo>
                  <a:pt x="3182" y="1295"/>
                </a:lnTo>
                <a:lnTo>
                  <a:pt x="2993" y="1506"/>
                </a:lnTo>
                <a:lnTo>
                  <a:pt x="3220" y="1699"/>
                </a:lnTo>
                <a:lnTo>
                  <a:pt x="3232" y="1712"/>
                </a:lnTo>
                <a:lnTo>
                  <a:pt x="3241" y="1727"/>
                </a:lnTo>
                <a:lnTo>
                  <a:pt x="3245" y="1745"/>
                </a:lnTo>
                <a:lnTo>
                  <a:pt x="3245" y="1763"/>
                </a:lnTo>
                <a:lnTo>
                  <a:pt x="3241" y="1780"/>
                </a:lnTo>
                <a:lnTo>
                  <a:pt x="3233" y="1796"/>
                </a:lnTo>
                <a:lnTo>
                  <a:pt x="3222" y="1810"/>
                </a:lnTo>
                <a:lnTo>
                  <a:pt x="3207" y="1820"/>
                </a:lnTo>
                <a:lnTo>
                  <a:pt x="2950" y="1957"/>
                </a:lnTo>
                <a:lnTo>
                  <a:pt x="3110" y="2209"/>
                </a:lnTo>
                <a:lnTo>
                  <a:pt x="3117" y="2225"/>
                </a:lnTo>
                <a:lnTo>
                  <a:pt x="3121" y="2244"/>
                </a:lnTo>
                <a:lnTo>
                  <a:pt x="3120" y="2261"/>
                </a:lnTo>
                <a:lnTo>
                  <a:pt x="3115" y="2278"/>
                </a:lnTo>
                <a:lnTo>
                  <a:pt x="3106" y="2294"/>
                </a:lnTo>
                <a:lnTo>
                  <a:pt x="3094" y="2307"/>
                </a:lnTo>
                <a:lnTo>
                  <a:pt x="3079" y="2316"/>
                </a:lnTo>
                <a:lnTo>
                  <a:pt x="3062" y="2322"/>
                </a:lnTo>
                <a:lnTo>
                  <a:pt x="2772" y="2379"/>
                </a:lnTo>
                <a:lnTo>
                  <a:pt x="2839" y="2666"/>
                </a:lnTo>
                <a:lnTo>
                  <a:pt x="2841" y="2684"/>
                </a:lnTo>
                <a:lnTo>
                  <a:pt x="2839" y="2702"/>
                </a:lnTo>
                <a:lnTo>
                  <a:pt x="2832" y="2718"/>
                </a:lnTo>
                <a:lnTo>
                  <a:pt x="2822" y="2733"/>
                </a:lnTo>
                <a:lnTo>
                  <a:pt x="2808" y="2744"/>
                </a:lnTo>
                <a:lnTo>
                  <a:pt x="2792" y="2752"/>
                </a:lnTo>
                <a:lnTo>
                  <a:pt x="2774" y="2756"/>
                </a:lnTo>
                <a:lnTo>
                  <a:pt x="2757" y="2756"/>
                </a:lnTo>
                <a:lnTo>
                  <a:pt x="2472" y="2714"/>
                </a:lnTo>
                <a:lnTo>
                  <a:pt x="2438" y="3001"/>
                </a:lnTo>
                <a:lnTo>
                  <a:pt x="2433" y="3018"/>
                </a:lnTo>
                <a:lnTo>
                  <a:pt x="2425" y="3034"/>
                </a:lnTo>
                <a:lnTo>
                  <a:pt x="2414" y="3047"/>
                </a:lnTo>
                <a:lnTo>
                  <a:pt x="2399" y="3057"/>
                </a:lnTo>
                <a:lnTo>
                  <a:pt x="2383" y="3064"/>
                </a:lnTo>
                <a:lnTo>
                  <a:pt x="2365" y="3066"/>
                </a:lnTo>
                <a:lnTo>
                  <a:pt x="2348" y="3064"/>
                </a:lnTo>
                <a:lnTo>
                  <a:pt x="2331" y="3058"/>
                </a:lnTo>
                <a:lnTo>
                  <a:pt x="2067" y="2926"/>
                </a:lnTo>
                <a:lnTo>
                  <a:pt x="1947" y="3187"/>
                </a:lnTo>
                <a:lnTo>
                  <a:pt x="1938" y="3203"/>
                </a:lnTo>
                <a:lnTo>
                  <a:pt x="1925" y="3215"/>
                </a:lnTo>
                <a:lnTo>
                  <a:pt x="1909" y="3225"/>
                </a:lnTo>
                <a:lnTo>
                  <a:pt x="1892" y="3230"/>
                </a:lnTo>
                <a:lnTo>
                  <a:pt x="1886" y="3230"/>
                </a:lnTo>
                <a:lnTo>
                  <a:pt x="1880" y="3231"/>
                </a:lnTo>
                <a:lnTo>
                  <a:pt x="1860" y="3228"/>
                </a:lnTo>
                <a:lnTo>
                  <a:pt x="1842" y="3220"/>
                </a:lnTo>
                <a:lnTo>
                  <a:pt x="1827" y="3207"/>
                </a:lnTo>
                <a:lnTo>
                  <a:pt x="1625" y="2997"/>
                </a:lnTo>
                <a:lnTo>
                  <a:pt x="1419" y="3208"/>
                </a:lnTo>
                <a:lnTo>
                  <a:pt x="1405" y="3220"/>
                </a:lnTo>
                <a:lnTo>
                  <a:pt x="1389" y="3227"/>
                </a:lnTo>
                <a:lnTo>
                  <a:pt x="1371" y="3231"/>
                </a:lnTo>
                <a:lnTo>
                  <a:pt x="1354" y="3229"/>
                </a:lnTo>
                <a:lnTo>
                  <a:pt x="1337" y="3224"/>
                </a:lnTo>
                <a:lnTo>
                  <a:pt x="1321" y="3215"/>
                </a:lnTo>
                <a:lnTo>
                  <a:pt x="1309" y="3203"/>
                </a:lnTo>
                <a:lnTo>
                  <a:pt x="1299" y="3188"/>
                </a:lnTo>
                <a:lnTo>
                  <a:pt x="1176" y="2926"/>
                </a:lnTo>
                <a:lnTo>
                  <a:pt x="916" y="3058"/>
                </a:lnTo>
                <a:lnTo>
                  <a:pt x="899" y="3064"/>
                </a:lnTo>
                <a:lnTo>
                  <a:pt x="881" y="3066"/>
                </a:lnTo>
                <a:lnTo>
                  <a:pt x="864" y="3064"/>
                </a:lnTo>
                <a:lnTo>
                  <a:pt x="847" y="3057"/>
                </a:lnTo>
                <a:lnTo>
                  <a:pt x="832" y="3047"/>
                </a:lnTo>
                <a:lnTo>
                  <a:pt x="821" y="3033"/>
                </a:lnTo>
                <a:lnTo>
                  <a:pt x="813" y="3018"/>
                </a:lnTo>
                <a:lnTo>
                  <a:pt x="809" y="3000"/>
                </a:lnTo>
                <a:lnTo>
                  <a:pt x="779" y="2714"/>
                </a:lnTo>
                <a:lnTo>
                  <a:pt x="495" y="2756"/>
                </a:lnTo>
                <a:lnTo>
                  <a:pt x="476" y="2756"/>
                </a:lnTo>
                <a:lnTo>
                  <a:pt x="459" y="2752"/>
                </a:lnTo>
                <a:lnTo>
                  <a:pt x="443" y="2744"/>
                </a:lnTo>
                <a:lnTo>
                  <a:pt x="429" y="2733"/>
                </a:lnTo>
                <a:lnTo>
                  <a:pt x="419" y="2718"/>
                </a:lnTo>
                <a:lnTo>
                  <a:pt x="412" y="2702"/>
                </a:lnTo>
                <a:lnTo>
                  <a:pt x="410" y="2684"/>
                </a:lnTo>
                <a:lnTo>
                  <a:pt x="412" y="2666"/>
                </a:lnTo>
                <a:lnTo>
                  <a:pt x="479" y="2379"/>
                </a:lnTo>
                <a:lnTo>
                  <a:pt x="184" y="2322"/>
                </a:lnTo>
                <a:lnTo>
                  <a:pt x="167" y="2316"/>
                </a:lnTo>
                <a:lnTo>
                  <a:pt x="152" y="2307"/>
                </a:lnTo>
                <a:lnTo>
                  <a:pt x="140" y="2294"/>
                </a:lnTo>
                <a:lnTo>
                  <a:pt x="131" y="2279"/>
                </a:lnTo>
                <a:lnTo>
                  <a:pt x="126" y="2261"/>
                </a:lnTo>
                <a:lnTo>
                  <a:pt x="125" y="2244"/>
                </a:lnTo>
                <a:lnTo>
                  <a:pt x="128" y="2226"/>
                </a:lnTo>
                <a:lnTo>
                  <a:pt x="136" y="2209"/>
                </a:lnTo>
                <a:lnTo>
                  <a:pt x="292" y="1957"/>
                </a:lnTo>
                <a:lnTo>
                  <a:pt x="39" y="1820"/>
                </a:lnTo>
                <a:lnTo>
                  <a:pt x="24" y="1810"/>
                </a:lnTo>
                <a:lnTo>
                  <a:pt x="12" y="1796"/>
                </a:lnTo>
                <a:lnTo>
                  <a:pt x="4" y="1780"/>
                </a:lnTo>
                <a:lnTo>
                  <a:pt x="0" y="1762"/>
                </a:lnTo>
                <a:lnTo>
                  <a:pt x="1" y="1744"/>
                </a:lnTo>
                <a:lnTo>
                  <a:pt x="6" y="1727"/>
                </a:lnTo>
                <a:lnTo>
                  <a:pt x="15" y="1711"/>
                </a:lnTo>
                <a:lnTo>
                  <a:pt x="27" y="1698"/>
                </a:lnTo>
                <a:lnTo>
                  <a:pt x="258" y="1506"/>
                </a:lnTo>
                <a:lnTo>
                  <a:pt x="64" y="1296"/>
                </a:lnTo>
                <a:lnTo>
                  <a:pt x="54" y="1281"/>
                </a:lnTo>
                <a:lnTo>
                  <a:pt x="47" y="1265"/>
                </a:lnTo>
                <a:lnTo>
                  <a:pt x="45" y="1247"/>
                </a:lnTo>
                <a:lnTo>
                  <a:pt x="47" y="1229"/>
                </a:lnTo>
                <a:lnTo>
                  <a:pt x="53" y="1212"/>
                </a:lnTo>
                <a:lnTo>
                  <a:pt x="63" y="1197"/>
                </a:lnTo>
                <a:lnTo>
                  <a:pt x="77" y="1186"/>
                </a:lnTo>
                <a:lnTo>
                  <a:pt x="93" y="1177"/>
                </a:lnTo>
                <a:lnTo>
                  <a:pt x="365" y="1074"/>
                </a:lnTo>
                <a:lnTo>
                  <a:pt x="255" y="810"/>
                </a:lnTo>
                <a:lnTo>
                  <a:pt x="250" y="793"/>
                </a:lnTo>
                <a:lnTo>
                  <a:pt x="250" y="775"/>
                </a:lnTo>
                <a:lnTo>
                  <a:pt x="253" y="758"/>
                </a:lnTo>
                <a:lnTo>
                  <a:pt x="261" y="742"/>
                </a:lnTo>
                <a:lnTo>
                  <a:pt x="273" y="728"/>
                </a:lnTo>
                <a:lnTo>
                  <a:pt x="287" y="718"/>
                </a:lnTo>
                <a:lnTo>
                  <a:pt x="303" y="711"/>
                </a:lnTo>
                <a:lnTo>
                  <a:pt x="321" y="708"/>
                </a:lnTo>
                <a:lnTo>
                  <a:pt x="613" y="702"/>
                </a:lnTo>
                <a:lnTo>
                  <a:pt x="599" y="407"/>
                </a:lnTo>
                <a:lnTo>
                  <a:pt x="601" y="389"/>
                </a:lnTo>
                <a:lnTo>
                  <a:pt x="606" y="373"/>
                </a:lnTo>
                <a:lnTo>
                  <a:pt x="615" y="358"/>
                </a:lnTo>
                <a:lnTo>
                  <a:pt x="628" y="345"/>
                </a:lnTo>
                <a:lnTo>
                  <a:pt x="643" y="336"/>
                </a:lnTo>
                <a:lnTo>
                  <a:pt x="660" y="331"/>
                </a:lnTo>
                <a:lnTo>
                  <a:pt x="678" y="330"/>
                </a:lnTo>
                <a:lnTo>
                  <a:pt x="695" y="333"/>
                </a:lnTo>
                <a:lnTo>
                  <a:pt x="971" y="420"/>
                </a:lnTo>
                <a:lnTo>
                  <a:pt x="1046" y="140"/>
                </a:lnTo>
                <a:lnTo>
                  <a:pt x="1053" y="123"/>
                </a:lnTo>
                <a:lnTo>
                  <a:pt x="1063" y="108"/>
                </a:lnTo>
                <a:lnTo>
                  <a:pt x="1076" y="97"/>
                </a:lnTo>
                <a:lnTo>
                  <a:pt x="1093" y="89"/>
                </a:lnTo>
                <a:lnTo>
                  <a:pt x="1110" y="85"/>
                </a:lnTo>
                <a:lnTo>
                  <a:pt x="1128" y="85"/>
                </a:lnTo>
                <a:lnTo>
                  <a:pt x="1145" y="90"/>
                </a:lnTo>
                <a:lnTo>
                  <a:pt x="1161" y="99"/>
                </a:lnTo>
                <a:lnTo>
                  <a:pt x="1397" y="272"/>
                </a:lnTo>
                <a:lnTo>
                  <a:pt x="1565" y="32"/>
                </a:lnTo>
                <a:lnTo>
                  <a:pt x="1577" y="19"/>
                </a:lnTo>
                <a:lnTo>
                  <a:pt x="1590" y="10"/>
                </a:lnTo>
                <a:lnTo>
                  <a:pt x="1607" y="4"/>
                </a:lnTo>
                <a:lnTo>
                  <a:pt x="162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任意多边形 4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>
            <a:spLocks/>
          </xdr:cNvSpPr>
        </xdr:nvSpPr>
        <xdr:spPr bwMode="auto">
          <a:xfrm>
            <a:off x="451" y="840"/>
            <a:ext cx="25" cy="6"/>
          </a:xfrm>
          <a:custGeom>
            <a:avLst/>
            <a:gdLst>
              <a:gd name="T0" fmla="*/ 70 w 1528"/>
              <a:gd name="T1" fmla="*/ 0 h 357"/>
              <a:gd name="T2" fmla="*/ 1455 w 1528"/>
              <a:gd name="T3" fmla="*/ 0 h 357"/>
              <a:gd name="T4" fmla="*/ 1471 w 1528"/>
              <a:gd name="T5" fmla="*/ 3 h 357"/>
              <a:gd name="T6" fmla="*/ 1485 w 1528"/>
              <a:gd name="T7" fmla="*/ 11 h 357"/>
              <a:gd name="T8" fmla="*/ 1497 w 1528"/>
              <a:gd name="T9" fmla="*/ 24 h 357"/>
              <a:gd name="T10" fmla="*/ 1508 w 1528"/>
              <a:gd name="T11" fmla="*/ 43 h 357"/>
              <a:gd name="T12" fmla="*/ 1515 w 1528"/>
              <a:gd name="T13" fmla="*/ 62 h 357"/>
              <a:gd name="T14" fmla="*/ 1521 w 1528"/>
              <a:gd name="T15" fmla="*/ 85 h 357"/>
              <a:gd name="T16" fmla="*/ 1525 w 1528"/>
              <a:gd name="T17" fmla="*/ 114 h 357"/>
              <a:gd name="T18" fmla="*/ 1527 w 1528"/>
              <a:gd name="T19" fmla="*/ 146 h 357"/>
              <a:gd name="T20" fmla="*/ 1528 w 1528"/>
              <a:gd name="T21" fmla="*/ 182 h 357"/>
              <a:gd name="T22" fmla="*/ 1527 w 1528"/>
              <a:gd name="T23" fmla="*/ 218 h 357"/>
              <a:gd name="T24" fmla="*/ 1524 w 1528"/>
              <a:gd name="T25" fmla="*/ 250 h 357"/>
              <a:gd name="T26" fmla="*/ 1520 w 1528"/>
              <a:gd name="T27" fmla="*/ 278 h 357"/>
              <a:gd name="T28" fmla="*/ 1513 w 1528"/>
              <a:gd name="T29" fmla="*/ 300 h 357"/>
              <a:gd name="T30" fmla="*/ 1504 w 1528"/>
              <a:gd name="T31" fmla="*/ 318 h 357"/>
              <a:gd name="T32" fmla="*/ 1492 w 1528"/>
              <a:gd name="T33" fmla="*/ 335 h 357"/>
              <a:gd name="T34" fmla="*/ 1480 w 1528"/>
              <a:gd name="T35" fmla="*/ 347 h 357"/>
              <a:gd name="T36" fmla="*/ 1467 w 1528"/>
              <a:gd name="T37" fmla="*/ 354 h 357"/>
              <a:gd name="T38" fmla="*/ 1452 w 1528"/>
              <a:gd name="T39" fmla="*/ 357 h 357"/>
              <a:gd name="T40" fmla="*/ 73 w 1528"/>
              <a:gd name="T41" fmla="*/ 357 h 357"/>
              <a:gd name="T42" fmla="*/ 59 w 1528"/>
              <a:gd name="T43" fmla="*/ 354 h 357"/>
              <a:gd name="T44" fmla="*/ 46 w 1528"/>
              <a:gd name="T45" fmla="*/ 347 h 357"/>
              <a:gd name="T46" fmla="*/ 34 w 1528"/>
              <a:gd name="T47" fmla="*/ 335 h 357"/>
              <a:gd name="T48" fmla="*/ 23 w 1528"/>
              <a:gd name="T49" fmla="*/ 318 h 357"/>
              <a:gd name="T50" fmla="*/ 15 w 1528"/>
              <a:gd name="T51" fmla="*/ 300 h 357"/>
              <a:gd name="T52" fmla="*/ 8 w 1528"/>
              <a:gd name="T53" fmla="*/ 278 h 357"/>
              <a:gd name="T54" fmla="*/ 4 w 1528"/>
              <a:gd name="T55" fmla="*/ 250 h 357"/>
              <a:gd name="T56" fmla="*/ 1 w 1528"/>
              <a:gd name="T57" fmla="*/ 218 h 357"/>
              <a:gd name="T58" fmla="*/ 0 w 1528"/>
              <a:gd name="T59" fmla="*/ 182 h 357"/>
              <a:gd name="T60" fmla="*/ 1 w 1528"/>
              <a:gd name="T61" fmla="*/ 146 h 357"/>
              <a:gd name="T62" fmla="*/ 3 w 1528"/>
              <a:gd name="T63" fmla="*/ 114 h 357"/>
              <a:gd name="T64" fmla="*/ 7 w 1528"/>
              <a:gd name="T65" fmla="*/ 85 h 357"/>
              <a:gd name="T66" fmla="*/ 12 w 1528"/>
              <a:gd name="T67" fmla="*/ 62 h 357"/>
              <a:gd name="T68" fmla="*/ 19 w 1528"/>
              <a:gd name="T69" fmla="*/ 43 h 357"/>
              <a:gd name="T70" fmla="*/ 29 w 1528"/>
              <a:gd name="T71" fmla="*/ 24 h 357"/>
              <a:gd name="T72" fmla="*/ 41 w 1528"/>
              <a:gd name="T73" fmla="*/ 11 h 357"/>
              <a:gd name="T74" fmla="*/ 55 w 1528"/>
              <a:gd name="T75" fmla="*/ 3 h 357"/>
              <a:gd name="T76" fmla="*/ 70 w 1528"/>
              <a:gd name="T77" fmla="*/ 0 h 3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1528" h="357">
                <a:moveTo>
                  <a:pt x="70" y="0"/>
                </a:moveTo>
                <a:lnTo>
                  <a:pt x="1455" y="0"/>
                </a:lnTo>
                <a:lnTo>
                  <a:pt x="1471" y="3"/>
                </a:lnTo>
                <a:lnTo>
                  <a:pt x="1485" y="11"/>
                </a:lnTo>
                <a:lnTo>
                  <a:pt x="1497" y="24"/>
                </a:lnTo>
                <a:lnTo>
                  <a:pt x="1508" y="43"/>
                </a:lnTo>
                <a:lnTo>
                  <a:pt x="1515" y="62"/>
                </a:lnTo>
                <a:lnTo>
                  <a:pt x="1521" y="85"/>
                </a:lnTo>
                <a:lnTo>
                  <a:pt x="1525" y="114"/>
                </a:lnTo>
                <a:lnTo>
                  <a:pt x="1527" y="146"/>
                </a:lnTo>
                <a:lnTo>
                  <a:pt x="1528" y="182"/>
                </a:lnTo>
                <a:lnTo>
                  <a:pt x="1527" y="218"/>
                </a:lnTo>
                <a:lnTo>
                  <a:pt x="1524" y="250"/>
                </a:lnTo>
                <a:lnTo>
                  <a:pt x="1520" y="278"/>
                </a:lnTo>
                <a:lnTo>
                  <a:pt x="1513" y="300"/>
                </a:lnTo>
                <a:lnTo>
                  <a:pt x="1504" y="318"/>
                </a:lnTo>
                <a:lnTo>
                  <a:pt x="1492" y="335"/>
                </a:lnTo>
                <a:lnTo>
                  <a:pt x="1480" y="347"/>
                </a:lnTo>
                <a:lnTo>
                  <a:pt x="1467" y="354"/>
                </a:lnTo>
                <a:lnTo>
                  <a:pt x="1452" y="357"/>
                </a:lnTo>
                <a:lnTo>
                  <a:pt x="73" y="357"/>
                </a:lnTo>
                <a:lnTo>
                  <a:pt x="59" y="354"/>
                </a:lnTo>
                <a:lnTo>
                  <a:pt x="46" y="347"/>
                </a:lnTo>
                <a:lnTo>
                  <a:pt x="34" y="335"/>
                </a:lnTo>
                <a:lnTo>
                  <a:pt x="23" y="318"/>
                </a:lnTo>
                <a:lnTo>
                  <a:pt x="15" y="300"/>
                </a:lnTo>
                <a:lnTo>
                  <a:pt x="8" y="278"/>
                </a:lnTo>
                <a:lnTo>
                  <a:pt x="4" y="250"/>
                </a:lnTo>
                <a:lnTo>
                  <a:pt x="1" y="218"/>
                </a:lnTo>
                <a:lnTo>
                  <a:pt x="0" y="182"/>
                </a:lnTo>
                <a:lnTo>
                  <a:pt x="1" y="146"/>
                </a:lnTo>
                <a:lnTo>
                  <a:pt x="3" y="114"/>
                </a:lnTo>
                <a:lnTo>
                  <a:pt x="7" y="85"/>
                </a:lnTo>
                <a:lnTo>
                  <a:pt x="12" y="62"/>
                </a:lnTo>
                <a:lnTo>
                  <a:pt x="19" y="43"/>
                </a:lnTo>
                <a:lnTo>
                  <a:pt x="29" y="24"/>
                </a:lnTo>
                <a:lnTo>
                  <a:pt x="41" y="11"/>
                </a:lnTo>
                <a:lnTo>
                  <a:pt x="55" y="3"/>
                </a:lnTo>
                <a:lnTo>
                  <a:pt x="70" y="0"/>
                </a:lnTo>
                <a:close/>
              </a:path>
            </a:pathLst>
          </a:custGeom>
          <a:solidFill>
            <a:schemeClr val="tx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0</xdr:col>
      <xdr:colOff>247656</xdr:colOff>
      <xdr:row>0</xdr:row>
      <xdr:rowOff>361956</xdr:rowOff>
    </xdr:from>
    <xdr:to>
      <xdr:col>1</xdr:col>
      <xdr:colOff>197745</xdr:colOff>
      <xdr:row>2</xdr:row>
      <xdr:rowOff>45345</xdr:rowOff>
    </xdr:to>
    <xdr:grpSp>
      <xdr:nvGrpSpPr>
        <xdr:cNvPr id="6" name="收入图标" descr="&quot;&quot;" title="收入图标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>
          <a:grpSpLocks noChangeAspect="1"/>
        </xdr:cNvGrpSpPr>
      </xdr:nvGrpSpPr>
      <xdr:grpSpPr bwMode="auto">
        <a:xfrm>
          <a:off x="247656" y="361956"/>
          <a:ext cx="397764" cy="464439"/>
          <a:chOff x="417" y="815"/>
          <a:chExt cx="56" cy="56"/>
        </a:xfrm>
      </xdr:grpSpPr>
      <xdr:sp macro="" textlink="">
        <xdr:nvSpPr>
          <xdr:cNvPr id="7" name="矩形 48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417" y="815"/>
            <a:ext cx="56" cy="56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任意多边形 49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/>
          </xdr:cNvSpPr>
        </xdr:nvSpPr>
        <xdr:spPr bwMode="auto">
          <a:xfrm>
            <a:off x="417" y="816"/>
            <a:ext cx="55" cy="55"/>
          </a:xfrm>
          <a:custGeom>
            <a:avLst/>
            <a:gdLst>
              <a:gd name="T0" fmla="*/ 1676 w 3245"/>
              <a:gd name="T1" fmla="*/ 19 h 3231"/>
              <a:gd name="T2" fmla="*/ 2102 w 3245"/>
              <a:gd name="T3" fmla="*/ 90 h 3231"/>
              <a:gd name="T4" fmla="*/ 2170 w 3245"/>
              <a:gd name="T5" fmla="*/ 96 h 3231"/>
              <a:gd name="T6" fmla="*/ 2278 w 3245"/>
              <a:gd name="T7" fmla="*/ 421 h 3231"/>
              <a:gd name="T8" fmla="*/ 2608 w 3245"/>
              <a:gd name="T9" fmla="*/ 337 h 3231"/>
              <a:gd name="T10" fmla="*/ 2651 w 3245"/>
              <a:gd name="T11" fmla="*/ 391 h 3231"/>
              <a:gd name="T12" fmla="*/ 2941 w 3245"/>
              <a:gd name="T13" fmla="*/ 711 h 3231"/>
              <a:gd name="T14" fmla="*/ 2993 w 3245"/>
              <a:gd name="T15" fmla="*/ 758 h 3231"/>
              <a:gd name="T16" fmla="*/ 2879 w 3245"/>
              <a:gd name="T17" fmla="*/ 1074 h 3231"/>
              <a:gd name="T18" fmla="*/ 3192 w 3245"/>
              <a:gd name="T19" fmla="*/ 1212 h 3231"/>
              <a:gd name="T20" fmla="*/ 3192 w 3245"/>
              <a:gd name="T21" fmla="*/ 1280 h 3231"/>
              <a:gd name="T22" fmla="*/ 3232 w 3245"/>
              <a:gd name="T23" fmla="*/ 1712 h 3231"/>
              <a:gd name="T24" fmla="*/ 3241 w 3245"/>
              <a:gd name="T25" fmla="*/ 1780 h 3231"/>
              <a:gd name="T26" fmla="*/ 2950 w 3245"/>
              <a:gd name="T27" fmla="*/ 1957 h 3231"/>
              <a:gd name="T28" fmla="*/ 3120 w 3245"/>
              <a:gd name="T29" fmla="*/ 2261 h 3231"/>
              <a:gd name="T30" fmla="*/ 3079 w 3245"/>
              <a:gd name="T31" fmla="*/ 2316 h 3231"/>
              <a:gd name="T32" fmla="*/ 2841 w 3245"/>
              <a:gd name="T33" fmla="*/ 2684 h 3231"/>
              <a:gd name="T34" fmla="*/ 2808 w 3245"/>
              <a:gd name="T35" fmla="*/ 2744 h 3231"/>
              <a:gd name="T36" fmla="*/ 2472 w 3245"/>
              <a:gd name="T37" fmla="*/ 2714 h 3231"/>
              <a:gd name="T38" fmla="*/ 2414 w 3245"/>
              <a:gd name="T39" fmla="*/ 3047 h 3231"/>
              <a:gd name="T40" fmla="*/ 2348 w 3245"/>
              <a:gd name="T41" fmla="*/ 3064 h 3231"/>
              <a:gd name="T42" fmla="*/ 1938 w 3245"/>
              <a:gd name="T43" fmla="*/ 3203 h 3231"/>
              <a:gd name="T44" fmla="*/ 1886 w 3245"/>
              <a:gd name="T45" fmla="*/ 3230 h 3231"/>
              <a:gd name="T46" fmla="*/ 1827 w 3245"/>
              <a:gd name="T47" fmla="*/ 3207 h 3231"/>
              <a:gd name="T48" fmla="*/ 1389 w 3245"/>
              <a:gd name="T49" fmla="*/ 3227 h 3231"/>
              <a:gd name="T50" fmla="*/ 1321 w 3245"/>
              <a:gd name="T51" fmla="*/ 3215 h 3231"/>
              <a:gd name="T52" fmla="*/ 916 w 3245"/>
              <a:gd name="T53" fmla="*/ 3058 h 3231"/>
              <a:gd name="T54" fmla="*/ 847 w 3245"/>
              <a:gd name="T55" fmla="*/ 3057 h 3231"/>
              <a:gd name="T56" fmla="*/ 809 w 3245"/>
              <a:gd name="T57" fmla="*/ 3000 h 3231"/>
              <a:gd name="T58" fmla="*/ 459 w 3245"/>
              <a:gd name="T59" fmla="*/ 2752 h 3231"/>
              <a:gd name="T60" fmla="*/ 412 w 3245"/>
              <a:gd name="T61" fmla="*/ 2702 h 3231"/>
              <a:gd name="T62" fmla="*/ 184 w 3245"/>
              <a:gd name="T63" fmla="*/ 2322 h 3231"/>
              <a:gd name="T64" fmla="*/ 131 w 3245"/>
              <a:gd name="T65" fmla="*/ 2279 h 3231"/>
              <a:gd name="T66" fmla="*/ 136 w 3245"/>
              <a:gd name="T67" fmla="*/ 2209 h 3231"/>
              <a:gd name="T68" fmla="*/ 12 w 3245"/>
              <a:gd name="T69" fmla="*/ 1796 h 3231"/>
              <a:gd name="T70" fmla="*/ 6 w 3245"/>
              <a:gd name="T71" fmla="*/ 1727 h 3231"/>
              <a:gd name="T72" fmla="*/ 64 w 3245"/>
              <a:gd name="T73" fmla="*/ 1296 h 3231"/>
              <a:gd name="T74" fmla="*/ 47 w 3245"/>
              <a:gd name="T75" fmla="*/ 1229 h 3231"/>
              <a:gd name="T76" fmla="*/ 93 w 3245"/>
              <a:gd name="T77" fmla="*/ 1177 h 3231"/>
              <a:gd name="T78" fmla="*/ 250 w 3245"/>
              <a:gd name="T79" fmla="*/ 775 h 3231"/>
              <a:gd name="T80" fmla="*/ 287 w 3245"/>
              <a:gd name="T81" fmla="*/ 718 h 3231"/>
              <a:gd name="T82" fmla="*/ 599 w 3245"/>
              <a:gd name="T83" fmla="*/ 407 h 3231"/>
              <a:gd name="T84" fmla="*/ 628 w 3245"/>
              <a:gd name="T85" fmla="*/ 345 h 3231"/>
              <a:gd name="T86" fmla="*/ 695 w 3245"/>
              <a:gd name="T87" fmla="*/ 333 h 3231"/>
              <a:gd name="T88" fmla="*/ 1063 w 3245"/>
              <a:gd name="T89" fmla="*/ 108 h 3231"/>
              <a:gd name="T90" fmla="*/ 1128 w 3245"/>
              <a:gd name="T91" fmla="*/ 85 h 3231"/>
              <a:gd name="T92" fmla="*/ 1565 w 3245"/>
              <a:gd name="T93" fmla="*/ 32 h 3231"/>
              <a:gd name="T94" fmla="*/ 1626 w 3245"/>
              <a:gd name="T95" fmla="*/ 0 h 32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245" h="3231">
                <a:moveTo>
                  <a:pt x="1626" y="0"/>
                </a:moveTo>
                <a:lnTo>
                  <a:pt x="1644" y="3"/>
                </a:lnTo>
                <a:lnTo>
                  <a:pt x="1661" y="9"/>
                </a:lnTo>
                <a:lnTo>
                  <a:pt x="1676" y="19"/>
                </a:lnTo>
                <a:lnTo>
                  <a:pt x="1688" y="33"/>
                </a:lnTo>
                <a:lnTo>
                  <a:pt x="1847" y="272"/>
                </a:lnTo>
                <a:lnTo>
                  <a:pt x="2086" y="98"/>
                </a:lnTo>
                <a:lnTo>
                  <a:pt x="2102" y="90"/>
                </a:lnTo>
                <a:lnTo>
                  <a:pt x="2119" y="85"/>
                </a:lnTo>
                <a:lnTo>
                  <a:pt x="2136" y="85"/>
                </a:lnTo>
                <a:lnTo>
                  <a:pt x="2154" y="89"/>
                </a:lnTo>
                <a:lnTo>
                  <a:pt x="2170" y="96"/>
                </a:lnTo>
                <a:lnTo>
                  <a:pt x="2183" y="108"/>
                </a:lnTo>
                <a:lnTo>
                  <a:pt x="2193" y="122"/>
                </a:lnTo>
                <a:lnTo>
                  <a:pt x="2200" y="139"/>
                </a:lnTo>
                <a:lnTo>
                  <a:pt x="2278" y="421"/>
                </a:lnTo>
                <a:lnTo>
                  <a:pt x="2556" y="333"/>
                </a:lnTo>
                <a:lnTo>
                  <a:pt x="2574" y="330"/>
                </a:lnTo>
                <a:lnTo>
                  <a:pt x="2591" y="331"/>
                </a:lnTo>
                <a:lnTo>
                  <a:pt x="2608" y="337"/>
                </a:lnTo>
                <a:lnTo>
                  <a:pt x="2624" y="346"/>
                </a:lnTo>
                <a:lnTo>
                  <a:pt x="2637" y="359"/>
                </a:lnTo>
                <a:lnTo>
                  <a:pt x="2646" y="374"/>
                </a:lnTo>
                <a:lnTo>
                  <a:pt x="2651" y="391"/>
                </a:lnTo>
                <a:lnTo>
                  <a:pt x="2652" y="409"/>
                </a:lnTo>
                <a:lnTo>
                  <a:pt x="2632" y="702"/>
                </a:lnTo>
                <a:lnTo>
                  <a:pt x="2924" y="708"/>
                </a:lnTo>
                <a:lnTo>
                  <a:pt x="2941" y="711"/>
                </a:lnTo>
                <a:lnTo>
                  <a:pt x="2958" y="718"/>
                </a:lnTo>
                <a:lnTo>
                  <a:pt x="2972" y="728"/>
                </a:lnTo>
                <a:lnTo>
                  <a:pt x="2985" y="742"/>
                </a:lnTo>
                <a:lnTo>
                  <a:pt x="2993" y="758"/>
                </a:lnTo>
                <a:lnTo>
                  <a:pt x="2996" y="776"/>
                </a:lnTo>
                <a:lnTo>
                  <a:pt x="2996" y="793"/>
                </a:lnTo>
                <a:lnTo>
                  <a:pt x="2991" y="811"/>
                </a:lnTo>
                <a:lnTo>
                  <a:pt x="2879" y="1074"/>
                </a:lnTo>
                <a:lnTo>
                  <a:pt x="3153" y="1177"/>
                </a:lnTo>
                <a:lnTo>
                  <a:pt x="3169" y="1185"/>
                </a:lnTo>
                <a:lnTo>
                  <a:pt x="3182" y="1197"/>
                </a:lnTo>
                <a:lnTo>
                  <a:pt x="3192" y="1212"/>
                </a:lnTo>
                <a:lnTo>
                  <a:pt x="3199" y="1229"/>
                </a:lnTo>
                <a:lnTo>
                  <a:pt x="3201" y="1246"/>
                </a:lnTo>
                <a:lnTo>
                  <a:pt x="3199" y="1264"/>
                </a:lnTo>
                <a:lnTo>
                  <a:pt x="3192" y="1280"/>
                </a:lnTo>
                <a:lnTo>
                  <a:pt x="3182" y="1295"/>
                </a:lnTo>
                <a:lnTo>
                  <a:pt x="2993" y="1506"/>
                </a:lnTo>
                <a:lnTo>
                  <a:pt x="3220" y="1699"/>
                </a:lnTo>
                <a:lnTo>
                  <a:pt x="3232" y="1712"/>
                </a:lnTo>
                <a:lnTo>
                  <a:pt x="3241" y="1727"/>
                </a:lnTo>
                <a:lnTo>
                  <a:pt x="3245" y="1745"/>
                </a:lnTo>
                <a:lnTo>
                  <a:pt x="3245" y="1763"/>
                </a:lnTo>
                <a:lnTo>
                  <a:pt x="3241" y="1780"/>
                </a:lnTo>
                <a:lnTo>
                  <a:pt x="3233" y="1796"/>
                </a:lnTo>
                <a:lnTo>
                  <a:pt x="3222" y="1810"/>
                </a:lnTo>
                <a:lnTo>
                  <a:pt x="3207" y="1820"/>
                </a:lnTo>
                <a:lnTo>
                  <a:pt x="2950" y="1957"/>
                </a:lnTo>
                <a:lnTo>
                  <a:pt x="3110" y="2209"/>
                </a:lnTo>
                <a:lnTo>
                  <a:pt x="3117" y="2225"/>
                </a:lnTo>
                <a:lnTo>
                  <a:pt x="3121" y="2244"/>
                </a:lnTo>
                <a:lnTo>
                  <a:pt x="3120" y="2261"/>
                </a:lnTo>
                <a:lnTo>
                  <a:pt x="3115" y="2278"/>
                </a:lnTo>
                <a:lnTo>
                  <a:pt x="3106" y="2294"/>
                </a:lnTo>
                <a:lnTo>
                  <a:pt x="3094" y="2307"/>
                </a:lnTo>
                <a:lnTo>
                  <a:pt x="3079" y="2316"/>
                </a:lnTo>
                <a:lnTo>
                  <a:pt x="3062" y="2322"/>
                </a:lnTo>
                <a:lnTo>
                  <a:pt x="2772" y="2379"/>
                </a:lnTo>
                <a:lnTo>
                  <a:pt x="2839" y="2666"/>
                </a:lnTo>
                <a:lnTo>
                  <a:pt x="2841" y="2684"/>
                </a:lnTo>
                <a:lnTo>
                  <a:pt x="2839" y="2702"/>
                </a:lnTo>
                <a:lnTo>
                  <a:pt x="2832" y="2718"/>
                </a:lnTo>
                <a:lnTo>
                  <a:pt x="2822" y="2733"/>
                </a:lnTo>
                <a:lnTo>
                  <a:pt x="2808" y="2744"/>
                </a:lnTo>
                <a:lnTo>
                  <a:pt x="2792" y="2752"/>
                </a:lnTo>
                <a:lnTo>
                  <a:pt x="2774" y="2756"/>
                </a:lnTo>
                <a:lnTo>
                  <a:pt x="2757" y="2756"/>
                </a:lnTo>
                <a:lnTo>
                  <a:pt x="2472" y="2714"/>
                </a:lnTo>
                <a:lnTo>
                  <a:pt x="2438" y="3001"/>
                </a:lnTo>
                <a:lnTo>
                  <a:pt x="2433" y="3018"/>
                </a:lnTo>
                <a:lnTo>
                  <a:pt x="2425" y="3034"/>
                </a:lnTo>
                <a:lnTo>
                  <a:pt x="2414" y="3047"/>
                </a:lnTo>
                <a:lnTo>
                  <a:pt x="2399" y="3057"/>
                </a:lnTo>
                <a:lnTo>
                  <a:pt x="2383" y="3064"/>
                </a:lnTo>
                <a:lnTo>
                  <a:pt x="2365" y="3066"/>
                </a:lnTo>
                <a:lnTo>
                  <a:pt x="2348" y="3064"/>
                </a:lnTo>
                <a:lnTo>
                  <a:pt x="2331" y="3058"/>
                </a:lnTo>
                <a:lnTo>
                  <a:pt x="2067" y="2926"/>
                </a:lnTo>
                <a:lnTo>
                  <a:pt x="1947" y="3187"/>
                </a:lnTo>
                <a:lnTo>
                  <a:pt x="1938" y="3203"/>
                </a:lnTo>
                <a:lnTo>
                  <a:pt x="1925" y="3215"/>
                </a:lnTo>
                <a:lnTo>
                  <a:pt x="1909" y="3225"/>
                </a:lnTo>
                <a:lnTo>
                  <a:pt x="1892" y="3230"/>
                </a:lnTo>
                <a:lnTo>
                  <a:pt x="1886" y="3230"/>
                </a:lnTo>
                <a:lnTo>
                  <a:pt x="1880" y="3231"/>
                </a:lnTo>
                <a:lnTo>
                  <a:pt x="1860" y="3228"/>
                </a:lnTo>
                <a:lnTo>
                  <a:pt x="1842" y="3220"/>
                </a:lnTo>
                <a:lnTo>
                  <a:pt x="1827" y="3207"/>
                </a:lnTo>
                <a:lnTo>
                  <a:pt x="1625" y="2997"/>
                </a:lnTo>
                <a:lnTo>
                  <a:pt x="1419" y="3208"/>
                </a:lnTo>
                <a:lnTo>
                  <a:pt x="1405" y="3220"/>
                </a:lnTo>
                <a:lnTo>
                  <a:pt x="1389" y="3227"/>
                </a:lnTo>
                <a:lnTo>
                  <a:pt x="1371" y="3231"/>
                </a:lnTo>
                <a:lnTo>
                  <a:pt x="1354" y="3229"/>
                </a:lnTo>
                <a:lnTo>
                  <a:pt x="1337" y="3224"/>
                </a:lnTo>
                <a:lnTo>
                  <a:pt x="1321" y="3215"/>
                </a:lnTo>
                <a:lnTo>
                  <a:pt x="1309" y="3203"/>
                </a:lnTo>
                <a:lnTo>
                  <a:pt x="1299" y="3188"/>
                </a:lnTo>
                <a:lnTo>
                  <a:pt x="1176" y="2926"/>
                </a:lnTo>
                <a:lnTo>
                  <a:pt x="916" y="3058"/>
                </a:lnTo>
                <a:lnTo>
                  <a:pt x="899" y="3064"/>
                </a:lnTo>
                <a:lnTo>
                  <a:pt x="881" y="3066"/>
                </a:lnTo>
                <a:lnTo>
                  <a:pt x="864" y="3064"/>
                </a:lnTo>
                <a:lnTo>
                  <a:pt x="847" y="3057"/>
                </a:lnTo>
                <a:lnTo>
                  <a:pt x="832" y="3047"/>
                </a:lnTo>
                <a:lnTo>
                  <a:pt x="821" y="3033"/>
                </a:lnTo>
                <a:lnTo>
                  <a:pt x="813" y="3018"/>
                </a:lnTo>
                <a:lnTo>
                  <a:pt x="809" y="3000"/>
                </a:lnTo>
                <a:lnTo>
                  <a:pt x="779" y="2714"/>
                </a:lnTo>
                <a:lnTo>
                  <a:pt x="495" y="2756"/>
                </a:lnTo>
                <a:lnTo>
                  <a:pt x="476" y="2756"/>
                </a:lnTo>
                <a:lnTo>
                  <a:pt x="459" y="2752"/>
                </a:lnTo>
                <a:lnTo>
                  <a:pt x="443" y="2744"/>
                </a:lnTo>
                <a:lnTo>
                  <a:pt x="429" y="2733"/>
                </a:lnTo>
                <a:lnTo>
                  <a:pt x="419" y="2718"/>
                </a:lnTo>
                <a:lnTo>
                  <a:pt x="412" y="2702"/>
                </a:lnTo>
                <a:lnTo>
                  <a:pt x="410" y="2684"/>
                </a:lnTo>
                <a:lnTo>
                  <a:pt x="412" y="2666"/>
                </a:lnTo>
                <a:lnTo>
                  <a:pt x="479" y="2379"/>
                </a:lnTo>
                <a:lnTo>
                  <a:pt x="184" y="2322"/>
                </a:lnTo>
                <a:lnTo>
                  <a:pt x="167" y="2316"/>
                </a:lnTo>
                <a:lnTo>
                  <a:pt x="152" y="2307"/>
                </a:lnTo>
                <a:lnTo>
                  <a:pt x="140" y="2294"/>
                </a:lnTo>
                <a:lnTo>
                  <a:pt x="131" y="2279"/>
                </a:lnTo>
                <a:lnTo>
                  <a:pt x="126" y="2261"/>
                </a:lnTo>
                <a:lnTo>
                  <a:pt x="125" y="2244"/>
                </a:lnTo>
                <a:lnTo>
                  <a:pt x="128" y="2226"/>
                </a:lnTo>
                <a:lnTo>
                  <a:pt x="136" y="2209"/>
                </a:lnTo>
                <a:lnTo>
                  <a:pt x="292" y="1957"/>
                </a:lnTo>
                <a:lnTo>
                  <a:pt x="39" y="1820"/>
                </a:lnTo>
                <a:lnTo>
                  <a:pt x="24" y="1810"/>
                </a:lnTo>
                <a:lnTo>
                  <a:pt x="12" y="1796"/>
                </a:lnTo>
                <a:lnTo>
                  <a:pt x="4" y="1780"/>
                </a:lnTo>
                <a:lnTo>
                  <a:pt x="0" y="1762"/>
                </a:lnTo>
                <a:lnTo>
                  <a:pt x="1" y="1744"/>
                </a:lnTo>
                <a:lnTo>
                  <a:pt x="6" y="1727"/>
                </a:lnTo>
                <a:lnTo>
                  <a:pt x="15" y="1711"/>
                </a:lnTo>
                <a:lnTo>
                  <a:pt x="27" y="1698"/>
                </a:lnTo>
                <a:lnTo>
                  <a:pt x="258" y="1506"/>
                </a:lnTo>
                <a:lnTo>
                  <a:pt x="64" y="1296"/>
                </a:lnTo>
                <a:lnTo>
                  <a:pt x="54" y="1281"/>
                </a:lnTo>
                <a:lnTo>
                  <a:pt x="47" y="1265"/>
                </a:lnTo>
                <a:lnTo>
                  <a:pt x="45" y="1247"/>
                </a:lnTo>
                <a:lnTo>
                  <a:pt x="47" y="1229"/>
                </a:lnTo>
                <a:lnTo>
                  <a:pt x="53" y="1212"/>
                </a:lnTo>
                <a:lnTo>
                  <a:pt x="63" y="1197"/>
                </a:lnTo>
                <a:lnTo>
                  <a:pt x="77" y="1186"/>
                </a:lnTo>
                <a:lnTo>
                  <a:pt x="93" y="1177"/>
                </a:lnTo>
                <a:lnTo>
                  <a:pt x="365" y="1074"/>
                </a:lnTo>
                <a:lnTo>
                  <a:pt x="255" y="810"/>
                </a:lnTo>
                <a:lnTo>
                  <a:pt x="250" y="793"/>
                </a:lnTo>
                <a:lnTo>
                  <a:pt x="250" y="775"/>
                </a:lnTo>
                <a:lnTo>
                  <a:pt x="253" y="758"/>
                </a:lnTo>
                <a:lnTo>
                  <a:pt x="261" y="742"/>
                </a:lnTo>
                <a:lnTo>
                  <a:pt x="273" y="728"/>
                </a:lnTo>
                <a:lnTo>
                  <a:pt x="287" y="718"/>
                </a:lnTo>
                <a:lnTo>
                  <a:pt x="303" y="711"/>
                </a:lnTo>
                <a:lnTo>
                  <a:pt x="321" y="708"/>
                </a:lnTo>
                <a:lnTo>
                  <a:pt x="613" y="702"/>
                </a:lnTo>
                <a:lnTo>
                  <a:pt x="599" y="407"/>
                </a:lnTo>
                <a:lnTo>
                  <a:pt x="601" y="389"/>
                </a:lnTo>
                <a:lnTo>
                  <a:pt x="606" y="373"/>
                </a:lnTo>
                <a:lnTo>
                  <a:pt x="615" y="358"/>
                </a:lnTo>
                <a:lnTo>
                  <a:pt x="628" y="345"/>
                </a:lnTo>
                <a:lnTo>
                  <a:pt x="643" y="336"/>
                </a:lnTo>
                <a:lnTo>
                  <a:pt x="660" y="331"/>
                </a:lnTo>
                <a:lnTo>
                  <a:pt x="678" y="330"/>
                </a:lnTo>
                <a:lnTo>
                  <a:pt x="695" y="333"/>
                </a:lnTo>
                <a:lnTo>
                  <a:pt x="971" y="420"/>
                </a:lnTo>
                <a:lnTo>
                  <a:pt x="1046" y="140"/>
                </a:lnTo>
                <a:lnTo>
                  <a:pt x="1053" y="123"/>
                </a:lnTo>
                <a:lnTo>
                  <a:pt x="1063" y="108"/>
                </a:lnTo>
                <a:lnTo>
                  <a:pt x="1076" y="97"/>
                </a:lnTo>
                <a:lnTo>
                  <a:pt x="1093" y="89"/>
                </a:lnTo>
                <a:lnTo>
                  <a:pt x="1110" y="85"/>
                </a:lnTo>
                <a:lnTo>
                  <a:pt x="1128" y="85"/>
                </a:lnTo>
                <a:lnTo>
                  <a:pt x="1145" y="90"/>
                </a:lnTo>
                <a:lnTo>
                  <a:pt x="1161" y="99"/>
                </a:lnTo>
                <a:lnTo>
                  <a:pt x="1397" y="272"/>
                </a:lnTo>
                <a:lnTo>
                  <a:pt x="1565" y="32"/>
                </a:lnTo>
                <a:lnTo>
                  <a:pt x="1577" y="19"/>
                </a:lnTo>
                <a:lnTo>
                  <a:pt x="1590" y="10"/>
                </a:lnTo>
                <a:lnTo>
                  <a:pt x="1607" y="4"/>
                </a:lnTo>
                <a:lnTo>
                  <a:pt x="162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任意多边形 50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/>
          </xdr:cNvSpPr>
        </xdr:nvSpPr>
        <xdr:spPr bwMode="auto">
          <a:xfrm>
            <a:off x="432" y="832"/>
            <a:ext cx="25" cy="25"/>
          </a:xfrm>
          <a:custGeom>
            <a:avLst/>
            <a:gdLst>
              <a:gd name="T0" fmla="*/ 807 w 1528"/>
              <a:gd name="T1" fmla="*/ 1 h 1465"/>
              <a:gd name="T2" fmla="*/ 875 w 1528"/>
              <a:gd name="T3" fmla="*/ 7 h 1465"/>
              <a:gd name="T4" fmla="*/ 922 w 1528"/>
              <a:gd name="T5" fmla="*/ 19 h 1465"/>
              <a:gd name="T6" fmla="*/ 957 w 1528"/>
              <a:gd name="T7" fmla="*/ 42 h 1465"/>
              <a:gd name="T8" fmla="*/ 969 w 1528"/>
              <a:gd name="T9" fmla="*/ 73 h 1465"/>
              <a:gd name="T10" fmla="*/ 1455 w 1528"/>
              <a:gd name="T11" fmla="*/ 551 h 1465"/>
              <a:gd name="T12" fmla="*/ 1485 w 1528"/>
              <a:gd name="T13" fmla="*/ 562 h 1465"/>
              <a:gd name="T14" fmla="*/ 1508 w 1528"/>
              <a:gd name="T15" fmla="*/ 594 h 1465"/>
              <a:gd name="T16" fmla="*/ 1521 w 1528"/>
              <a:gd name="T17" fmla="*/ 636 h 1465"/>
              <a:gd name="T18" fmla="*/ 1527 w 1528"/>
              <a:gd name="T19" fmla="*/ 697 h 1465"/>
              <a:gd name="T20" fmla="*/ 1527 w 1528"/>
              <a:gd name="T21" fmla="*/ 769 h 1465"/>
              <a:gd name="T22" fmla="*/ 1520 w 1528"/>
              <a:gd name="T23" fmla="*/ 829 h 1465"/>
              <a:gd name="T24" fmla="*/ 1504 w 1528"/>
              <a:gd name="T25" fmla="*/ 869 h 1465"/>
              <a:gd name="T26" fmla="*/ 1480 w 1528"/>
              <a:gd name="T27" fmla="*/ 898 h 1465"/>
              <a:gd name="T28" fmla="*/ 1452 w 1528"/>
              <a:gd name="T29" fmla="*/ 908 h 1465"/>
              <a:gd name="T30" fmla="*/ 969 w 1528"/>
              <a:gd name="T31" fmla="*/ 1392 h 1465"/>
              <a:gd name="T32" fmla="*/ 957 w 1528"/>
              <a:gd name="T33" fmla="*/ 1423 h 1465"/>
              <a:gd name="T34" fmla="*/ 922 w 1528"/>
              <a:gd name="T35" fmla="*/ 1446 h 1465"/>
              <a:gd name="T36" fmla="*/ 875 w 1528"/>
              <a:gd name="T37" fmla="*/ 1458 h 1465"/>
              <a:gd name="T38" fmla="*/ 807 w 1528"/>
              <a:gd name="T39" fmla="*/ 1464 h 1465"/>
              <a:gd name="T40" fmla="*/ 722 w 1528"/>
              <a:gd name="T41" fmla="*/ 1464 h 1465"/>
              <a:gd name="T42" fmla="*/ 651 w 1528"/>
              <a:gd name="T43" fmla="*/ 1458 h 1465"/>
              <a:gd name="T44" fmla="*/ 603 w 1528"/>
              <a:gd name="T45" fmla="*/ 1446 h 1465"/>
              <a:gd name="T46" fmla="*/ 569 w 1528"/>
              <a:gd name="T47" fmla="*/ 1423 h 1465"/>
              <a:gd name="T48" fmla="*/ 557 w 1528"/>
              <a:gd name="T49" fmla="*/ 1392 h 1465"/>
              <a:gd name="T50" fmla="*/ 73 w 1528"/>
              <a:gd name="T51" fmla="*/ 908 h 1465"/>
              <a:gd name="T52" fmla="*/ 46 w 1528"/>
              <a:gd name="T53" fmla="*/ 898 h 1465"/>
              <a:gd name="T54" fmla="*/ 23 w 1528"/>
              <a:gd name="T55" fmla="*/ 869 h 1465"/>
              <a:gd name="T56" fmla="*/ 8 w 1528"/>
              <a:gd name="T57" fmla="*/ 829 h 1465"/>
              <a:gd name="T58" fmla="*/ 1 w 1528"/>
              <a:gd name="T59" fmla="*/ 769 h 1465"/>
              <a:gd name="T60" fmla="*/ 1 w 1528"/>
              <a:gd name="T61" fmla="*/ 697 h 1465"/>
              <a:gd name="T62" fmla="*/ 7 w 1528"/>
              <a:gd name="T63" fmla="*/ 636 h 1465"/>
              <a:gd name="T64" fmla="*/ 19 w 1528"/>
              <a:gd name="T65" fmla="*/ 594 h 1465"/>
              <a:gd name="T66" fmla="*/ 41 w 1528"/>
              <a:gd name="T67" fmla="*/ 562 h 1465"/>
              <a:gd name="T68" fmla="*/ 70 w 1528"/>
              <a:gd name="T69" fmla="*/ 551 h 1465"/>
              <a:gd name="T70" fmla="*/ 557 w 1528"/>
              <a:gd name="T71" fmla="*/ 73 h 1465"/>
              <a:gd name="T72" fmla="*/ 569 w 1528"/>
              <a:gd name="T73" fmla="*/ 42 h 1465"/>
              <a:gd name="T74" fmla="*/ 603 w 1528"/>
              <a:gd name="T75" fmla="*/ 19 h 1465"/>
              <a:gd name="T76" fmla="*/ 651 w 1528"/>
              <a:gd name="T77" fmla="*/ 7 h 1465"/>
              <a:gd name="T78" fmla="*/ 722 w 1528"/>
              <a:gd name="T79" fmla="*/ 1 h 146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</a:cxnLst>
            <a:rect l="0" t="0" r="r" b="b"/>
            <a:pathLst>
              <a:path w="1528" h="1465">
                <a:moveTo>
                  <a:pt x="765" y="0"/>
                </a:moveTo>
                <a:lnTo>
                  <a:pt x="807" y="1"/>
                </a:lnTo>
                <a:lnTo>
                  <a:pt x="844" y="3"/>
                </a:lnTo>
                <a:lnTo>
                  <a:pt x="875" y="7"/>
                </a:lnTo>
                <a:lnTo>
                  <a:pt x="901" y="12"/>
                </a:lnTo>
                <a:lnTo>
                  <a:pt x="922" y="19"/>
                </a:lnTo>
                <a:lnTo>
                  <a:pt x="943" y="30"/>
                </a:lnTo>
                <a:lnTo>
                  <a:pt x="957" y="42"/>
                </a:lnTo>
                <a:lnTo>
                  <a:pt x="966" y="56"/>
                </a:lnTo>
                <a:lnTo>
                  <a:pt x="969" y="73"/>
                </a:lnTo>
                <a:lnTo>
                  <a:pt x="969" y="551"/>
                </a:lnTo>
                <a:lnTo>
                  <a:pt x="1455" y="551"/>
                </a:lnTo>
                <a:lnTo>
                  <a:pt x="1471" y="554"/>
                </a:lnTo>
                <a:lnTo>
                  <a:pt x="1485" y="562"/>
                </a:lnTo>
                <a:lnTo>
                  <a:pt x="1497" y="575"/>
                </a:lnTo>
                <a:lnTo>
                  <a:pt x="1508" y="594"/>
                </a:lnTo>
                <a:lnTo>
                  <a:pt x="1515" y="613"/>
                </a:lnTo>
                <a:lnTo>
                  <a:pt x="1521" y="636"/>
                </a:lnTo>
                <a:lnTo>
                  <a:pt x="1525" y="665"/>
                </a:lnTo>
                <a:lnTo>
                  <a:pt x="1527" y="697"/>
                </a:lnTo>
                <a:lnTo>
                  <a:pt x="1528" y="733"/>
                </a:lnTo>
                <a:lnTo>
                  <a:pt x="1527" y="769"/>
                </a:lnTo>
                <a:lnTo>
                  <a:pt x="1524" y="801"/>
                </a:lnTo>
                <a:lnTo>
                  <a:pt x="1520" y="829"/>
                </a:lnTo>
                <a:lnTo>
                  <a:pt x="1513" y="851"/>
                </a:lnTo>
                <a:lnTo>
                  <a:pt x="1504" y="869"/>
                </a:lnTo>
                <a:lnTo>
                  <a:pt x="1492" y="886"/>
                </a:lnTo>
                <a:lnTo>
                  <a:pt x="1480" y="898"/>
                </a:lnTo>
                <a:lnTo>
                  <a:pt x="1467" y="905"/>
                </a:lnTo>
                <a:lnTo>
                  <a:pt x="1452" y="908"/>
                </a:lnTo>
                <a:lnTo>
                  <a:pt x="969" y="908"/>
                </a:lnTo>
                <a:lnTo>
                  <a:pt x="969" y="1392"/>
                </a:lnTo>
                <a:lnTo>
                  <a:pt x="966" y="1409"/>
                </a:lnTo>
                <a:lnTo>
                  <a:pt x="957" y="1423"/>
                </a:lnTo>
                <a:lnTo>
                  <a:pt x="943" y="1436"/>
                </a:lnTo>
                <a:lnTo>
                  <a:pt x="922" y="1446"/>
                </a:lnTo>
                <a:lnTo>
                  <a:pt x="901" y="1453"/>
                </a:lnTo>
                <a:lnTo>
                  <a:pt x="875" y="1458"/>
                </a:lnTo>
                <a:lnTo>
                  <a:pt x="844" y="1462"/>
                </a:lnTo>
                <a:lnTo>
                  <a:pt x="807" y="1464"/>
                </a:lnTo>
                <a:lnTo>
                  <a:pt x="765" y="1465"/>
                </a:lnTo>
                <a:lnTo>
                  <a:pt x="722" y="1464"/>
                </a:lnTo>
                <a:lnTo>
                  <a:pt x="684" y="1462"/>
                </a:lnTo>
                <a:lnTo>
                  <a:pt x="651" y="1458"/>
                </a:lnTo>
                <a:lnTo>
                  <a:pt x="625" y="1453"/>
                </a:lnTo>
                <a:lnTo>
                  <a:pt x="603" y="1446"/>
                </a:lnTo>
                <a:lnTo>
                  <a:pt x="583" y="1436"/>
                </a:lnTo>
                <a:lnTo>
                  <a:pt x="569" y="1423"/>
                </a:lnTo>
                <a:lnTo>
                  <a:pt x="560" y="1409"/>
                </a:lnTo>
                <a:lnTo>
                  <a:pt x="557" y="1392"/>
                </a:lnTo>
                <a:lnTo>
                  <a:pt x="557" y="908"/>
                </a:lnTo>
                <a:lnTo>
                  <a:pt x="73" y="908"/>
                </a:lnTo>
                <a:lnTo>
                  <a:pt x="59" y="905"/>
                </a:lnTo>
                <a:lnTo>
                  <a:pt x="46" y="898"/>
                </a:lnTo>
                <a:lnTo>
                  <a:pt x="34" y="886"/>
                </a:lnTo>
                <a:lnTo>
                  <a:pt x="23" y="869"/>
                </a:lnTo>
                <a:lnTo>
                  <a:pt x="15" y="851"/>
                </a:lnTo>
                <a:lnTo>
                  <a:pt x="8" y="829"/>
                </a:lnTo>
                <a:lnTo>
                  <a:pt x="4" y="801"/>
                </a:lnTo>
                <a:lnTo>
                  <a:pt x="1" y="769"/>
                </a:lnTo>
                <a:lnTo>
                  <a:pt x="0" y="733"/>
                </a:lnTo>
                <a:lnTo>
                  <a:pt x="1" y="697"/>
                </a:lnTo>
                <a:lnTo>
                  <a:pt x="3" y="665"/>
                </a:lnTo>
                <a:lnTo>
                  <a:pt x="7" y="636"/>
                </a:lnTo>
                <a:lnTo>
                  <a:pt x="12" y="613"/>
                </a:lnTo>
                <a:lnTo>
                  <a:pt x="19" y="594"/>
                </a:lnTo>
                <a:lnTo>
                  <a:pt x="29" y="575"/>
                </a:lnTo>
                <a:lnTo>
                  <a:pt x="41" y="562"/>
                </a:lnTo>
                <a:lnTo>
                  <a:pt x="55" y="554"/>
                </a:lnTo>
                <a:lnTo>
                  <a:pt x="70" y="551"/>
                </a:lnTo>
                <a:lnTo>
                  <a:pt x="557" y="551"/>
                </a:lnTo>
                <a:lnTo>
                  <a:pt x="557" y="73"/>
                </a:lnTo>
                <a:lnTo>
                  <a:pt x="560" y="56"/>
                </a:lnTo>
                <a:lnTo>
                  <a:pt x="569" y="42"/>
                </a:lnTo>
                <a:lnTo>
                  <a:pt x="583" y="30"/>
                </a:lnTo>
                <a:lnTo>
                  <a:pt x="603" y="19"/>
                </a:lnTo>
                <a:lnTo>
                  <a:pt x="625" y="12"/>
                </a:lnTo>
                <a:lnTo>
                  <a:pt x="651" y="7"/>
                </a:lnTo>
                <a:lnTo>
                  <a:pt x="684" y="3"/>
                </a:lnTo>
                <a:lnTo>
                  <a:pt x="722" y="1"/>
                </a:lnTo>
                <a:lnTo>
                  <a:pt x="765" y="0"/>
                </a:lnTo>
                <a:close/>
              </a:path>
            </a:pathLst>
          </a:custGeom>
          <a:solidFill>
            <a:schemeClr val="tx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148469</xdr:colOff>
      <xdr:row>0</xdr:row>
      <xdr:rowOff>95251</xdr:rowOff>
    </xdr:from>
    <xdr:to>
      <xdr:col>11</xdr:col>
      <xdr:colOff>754259</xdr:colOff>
      <xdr:row>0</xdr:row>
      <xdr:rowOff>333375</xdr:rowOff>
    </xdr:to>
    <xdr:sp macro="" textlink="">
      <xdr:nvSpPr>
        <xdr:cNvPr id="30" name="返回概况" descr="单击返回“仪表板”工作表" title="返回概况">
          <a:hlinkClick xmlns:r="http://schemas.openxmlformats.org/officeDocument/2006/relationships" r:id="rId1" tooltip="单击可返回到“仪表板”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8892419" y="95251"/>
          <a:ext cx="1463040" cy="238124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zh-CN" altLang="en-US" sz="800" b="1" spc="40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返回概况</a:t>
          </a:r>
          <a:endParaRPr lang="en-US" sz="800" b="1" spc="40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 fPrintsWithSheet="0"/>
  </xdr:twoCellAnchor>
  <xdr:twoCellAnchor editAs="oneCell">
    <xdr:from>
      <xdr:col>9</xdr:col>
      <xdr:colOff>1162050</xdr:colOff>
      <xdr:row>0</xdr:row>
      <xdr:rowOff>28575</xdr:rowOff>
    </xdr:from>
    <xdr:to>
      <xdr:col>10</xdr:col>
      <xdr:colOff>203835</xdr:colOff>
      <xdr:row>0</xdr:row>
      <xdr:rowOff>394335</xdr:rowOff>
    </xdr:to>
    <xdr:grpSp>
      <xdr:nvGrpSpPr>
        <xdr:cNvPr id="32" name="shpGauge" descr="&quot;&quot;" title="仪表板图标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>
          <a:grpSpLocks noChangeAspect="1"/>
        </xdr:cNvGrpSpPr>
      </xdr:nvGrpSpPr>
      <xdr:grpSpPr bwMode="auto">
        <a:xfrm>
          <a:off x="8715375" y="28575"/>
          <a:ext cx="365760" cy="365760"/>
          <a:chOff x="695" y="842"/>
          <a:chExt cx="45" cy="45"/>
        </a:xfrm>
      </xdr:grpSpPr>
      <xdr:sp macro="" textlink="">
        <xdr:nvSpPr>
          <xdr:cNvPr id="33" name="矩形 60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695" y="842"/>
            <a:ext cx="45" cy="45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" name="任意多边形 61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>
            <a:spLocks/>
          </xdr:cNvSpPr>
        </xdr:nvSpPr>
        <xdr:spPr bwMode="auto">
          <a:xfrm>
            <a:off x="695" y="842"/>
            <a:ext cx="44" cy="44"/>
          </a:xfrm>
          <a:custGeom>
            <a:avLst/>
            <a:gdLst>
              <a:gd name="T0" fmla="*/ 1672 w 3238"/>
              <a:gd name="T1" fmla="*/ 18 h 3203"/>
              <a:gd name="T2" fmla="*/ 2098 w 3238"/>
              <a:gd name="T3" fmla="*/ 88 h 3203"/>
              <a:gd name="T4" fmla="*/ 2165 w 3238"/>
              <a:gd name="T5" fmla="*/ 95 h 3203"/>
              <a:gd name="T6" fmla="*/ 2274 w 3238"/>
              <a:gd name="T7" fmla="*/ 416 h 3203"/>
              <a:gd name="T8" fmla="*/ 2603 w 3238"/>
              <a:gd name="T9" fmla="*/ 332 h 3203"/>
              <a:gd name="T10" fmla="*/ 2646 w 3238"/>
              <a:gd name="T11" fmla="*/ 386 h 3203"/>
              <a:gd name="T12" fmla="*/ 2936 w 3238"/>
              <a:gd name="T13" fmla="*/ 704 h 3203"/>
              <a:gd name="T14" fmla="*/ 2986 w 3238"/>
              <a:gd name="T15" fmla="*/ 751 h 3203"/>
              <a:gd name="T16" fmla="*/ 2874 w 3238"/>
              <a:gd name="T17" fmla="*/ 1064 h 3203"/>
              <a:gd name="T18" fmla="*/ 3186 w 3238"/>
              <a:gd name="T19" fmla="*/ 1201 h 3203"/>
              <a:gd name="T20" fmla="*/ 3186 w 3238"/>
              <a:gd name="T21" fmla="*/ 1269 h 3203"/>
              <a:gd name="T22" fmla="*/ 3225 w 3238"/>
              <a:gd name="T23" fmla="*/ 1696 h 3203"/>
              <a:gd name="T24" fmla="*/ 3234 w 3238"/>
              <a:gd name="T25" fmla="*/ 1765 h 3203"/>
              <a:gd name="T26" fmla="*/ 2944 w 3238"/>
              <a:gd name="T27" fmla="*/ 1940 h 3203"/>
              <a:gd name="T28" fmla="*/ 3114 w 3238"/>
              <a:gd name="T29" fmla="*/ 2241 h 3203"/>
              <a:gd name="T30" fmla="*/ 3073 w 3238"/>
              <a:gd name="T31" fmla="*/ 2295 h 3203"/>
              <a:gd name="T32" fmla="*/ 2835 w 3238"/>
              <a:gd name="T33" fmla="*/ 2661 h 3203"/>
              <a:gd name="T34" fmla="*/ 2802 w 3238"/>
              <a:gd name="T35" fmla="*/ 2722 h 3203"/>
              <a:gd name="T36" fmla="*/ 2466 w 3238"/>
              <a:gd name="T37" fmla="*/ 2690 h 3203"/>
              <a:gd name="T38" fmla="*/ 2408 w 3238"/>
              <a:gd name="T39" fmla="*/ 3020 h 3203"/>
              <a:gd name="T40" fmla="*/ 2343 w 3238"/>
              <a:gd name="T41" fmla="*/ 3037 h 3203"/>
              <a:gd name="T42" fmla="*/ 1933 w 3238"/>
              <a:gd name="T43" fmla="*/ 3176 h 3203"/>
              <a:gd name="T44" fmla="*/ 1883 w 3238"/>
              <a:gd name="T45" fmla="*/ 3203 h 3203"/>
              <a:gd name="T46" fmla="*/ 1834 w 3238"/>
              <a:gd name="T47" fmla="*/ 3190 h 3203"/>
              <a:gd name="T48" fmla="*/ 1402 w 3238"/>
              <a:gd name="T49" fmla="*/ 3192 h 3203"/>
              <a:gd name="T50" fmla="*/ 1333 w 3238"/>
              <a:gd name="T51" fmla="*/ 3197 h 3203"/>
              <a:gd name="T52" fmla="*/ 1174 w 3238"/>
              <a:gd name="T53" fmla="*/ 2900 h 3203"/>
              <a:gd name="T54" fmla="*/ 862 w 3238"/>
              <a:gd name="T55" fmla="*/ 3037 h 3203"/>
              <a:gd name="T56" fmla="*/ 812 w 3238"/>
              <a:gd name="T57" fmla="*/ 2991 h 3203"/>
              <a:gd name="T58" fmla="*/ 475 w 3238"/>
              <a:gd name="T59" fmla="*/ 2733 h 3203"/>
              <a:gd name="T60" fmla="*/ 418 w 3238"/>
              <a:gd name="T61" fmla="*/ 2694 h 3203"/>
              <a:gd name="T62" fmla="*/ 477 w 3238"/>
              <a:gd name="T63" fmla="*/ 2358 h 3203"/>
              <a:gd name="T64" fmla="*/ 140 w 3238"/>
              <a:gd name="T65" fmla="*/ 2274 h 3203"/>
              <a:gd name="T66" fmla="*/ 128 w 3238"/>
              <a:gd name="T67" fmla="*/ 2207 h 3203"/>
              <a:gd name="T68" fmla="*/ 24 w 3238"/>
              <a:gd name="T69" fmla="*/ 1794 h 3203"/>
              <a:gd name="T70" fmla="*/ 1 w 3238"/>
              <a:gd name="T71" fmla="*/ 1728 h 3203"/>
              <a:gd name="T72" fmla="*/ 257 w 3238"/>
              <a:gd name="T73" fmla="*/ 1494 h 3203"/>
              <a:gd name="T74" fmla="*/ 45 w 3238"/>
              <a:gd name="T75" fmla="*/ 1236 h 3203"/>
              <a:gd name="T76" fmla="*/ 77 w 3238"/>
              <a:gd name="T77" fmla="*/ 1175 h 3203"/>
              <a:gd name="T78" fmla="*/ 250 w 3238"/>
              <a:gd name="T79" fmla="*/ 785 h 3203"/>
              <a:gd name="T80" fmla="*/ 273 w 3238"/>
              <a:gd name="T81" fmla="*/ 721 h 3203"/>
              <a:gd name="T82" fmla="*/ 611 w 3238"/>
              <a:gd name="T83" fmla="*/ 695 h 3203"/>
              <a:gd name="T84" fmla="*/ 614 w 3238"/>
              <a:gd name="T85" fmla="*/ 354 h 3203"/>
              <a:gd name="T86" fmla="*/ 676 w 3238"/>
              <a:gd name="T87" fmla="*/ 326 h 3203"/>
              <a:gd name="T88" fmla="*/ 1050 w 3238"/>
              <a:gd name="T89" fmla="*/ 121 h 3203"/>
              <a:gd name="T90" fmla="*/ 1108 w 3238"/>
              <a:gd name="T91" fmla="*/ 83 h 3203"/>
              <a:gd name="T92" fmla="*/ 1394 w 3238"/>
              <a:gd name="T93" fmla="*/ 269 h 3203"/>
              <a:gd name="T94" fmla="*/ 1604 w 3238"/>
              <a:gd name="T95" fmla="*/ 3 h 320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238" h="3203">
                <a:moveTo>
                  <a:pt x="1623" y="0"/>
                </a:moveTo>
                <a:lnTo>
                  <a:pt x="1641" y="2"/>
                </a:lnTo>
                <a:lnTo>
                  <a:pt x="1657" y="8"/>
                </a:lnTo>
                <a:lnTo>
                  <a:pt x="1672" y="18"/>
                </a:lnTo>
                <a:lnTo>
                  <a:pt x="1684" y="32"/>
                </a:lnTo>
                <a:lnTo>
                  <a:pt x="1843" y="268"/>
                </a:lnTo>
                <a:lnTo>
                  <a:pt x="2081" y="96"/>
                </a:lnTo>
                <a:lnTo>
                  <a:pt x="2098" y="88"/>
                </a:lnTo>
                <a:lnTo>
                  <a:pt x="2115" y="84"/>
                </a:lnTo>
                <a:lnTo>
                  <a:pt x="2132" y="83"/>
                </a:lnTo>
                <a:lnTo>
                  <a:pt x="2150" y="87"/>
                </a:lnTo>
                <a:lnTo>
                  <a:pt x="2165" y="95"/>
                </a:lnTo>
                <a:lnTo>
                  <a:pt x="2179" y="106"/>
                </a:lnTo>
                <a:lnTo>
                  <a:pt x="2189" y="120"/>
                </a:lnTo>
                <a:lnTo>
                  <a:pt x="2196" y="136"/>
                </a:lnTo>
                <a:lnTo>
                  <a:pt x="2274" y="416"/>
                </a:lnTo>
                <a:lnTo>
                  <a:pt x="2551" y="329"/>
                </a:lnTo>
                <a:lnTo>
                  <a:pt x="2568" y="326"/>
                </a:lnTo>
                <a:lnTo>
                  <a:pt x="2586" y="327"/>
                </a:lnTo>
                <a:lnTo>
                  <a:pt x="2603" y="332"/>
                </a:lnTo>
                <a:lnTo>
                  <a:pt x="2618" y="342"/>
                </a:lnTo>
                <a:lnTo>
                  <a:pt x="2631" y="354"/>
                </a:lnTo>
                <a:lnTo>
                  <a:pt x="2641" y="369"/>
                </a:lnTo>
                <a:lnTo>
                  <a:pt x="2646" y="386"/>
                </a:lnTo>
                <a:lnTo>
                  <a:pt x="2647" y="404"/>
                </a:lnTo>
                <a:lnTo>
                  <a:pt x="2626" y="695"/>
                </a:lnTo>
                <a:lnTo>
                  <a:pt x="2918" y="701"/>
                </a:lnTo>
                <a:lnTo>
                  <a:pt x="2936" y="704"/>
                </a:lnTo>
                <a:lnTo>
                  <a:pt x="2952" y="711"/>
                </a:lnTo>
                <a:lnTo>
                  <a:pt x="2967" y="721"/>
                </a:lnTo>
                <a:lnTo>
                  <a:pt x="2979" y="735"/>
                </a:lnTo>
                <a:lnTo>
                  <a:pt x="2986" y="751"/>
                </a:lnTo>
                <a:lnTo>
                  <a:pt x="2990" y="768"/>
                </a:lnTo>
                <a:lnTo>
                  <a:pt x="2989" y="786"/>
                </a:lnTo>
                <a:lnTo>
                  <a:pt x="2984" y="804"/>
                </a:lnTo>
                <a:lnTo>
                  <a:pt x="2874" y="1064"/>
                </a:lnTo>
                <a:lnTo>
                  <a:pt x="3146" y="1166"/>
                </a:lnTo>
                <a:lnTo>
                  <a:pt x="3162" y="1175"/>
                </a:lnTo>
                <a:lnTo>
                  <a:pt x="3176" y="1187"/>
                </a:lnTo>
                <a:lnTo>
                  <a:pt x="3186" y="1201"/>
                </a:lnTo>
                <a:lnTo>
                  <a:pt x="3192" y="1218"/>
                </a:lnTo>
                <a:lnTo>
                  <a:pt x="3194" y="1235"/>
                </a:lnTo>
                <a:lnTo>
                  <a:pt x="3192" y="1253"/>
                </a:lnTo>
                <a:lnTo>
                  <a:pt x="3186" y="1269"/>
                </a:lnTo>
                <a:lnTo>
                  <a:pt x="3176" y="1284"/>
                </a:lnTo>
                <a:lnTo>
                  <a:pt x="2986" y="1494"/>
                </a:lnTo>
                <a:lnTo>
                  <a:pt x="3213" y="1683"/>
                </a:lnTo>
                <a:lnTo>
                  <a:pt x="3225" y="1696"/>
                </a:lnTo>
                <a:lnTo>
                  <a:pt x="3234" y="1712"/>
                </a:lnTo>
                <a:lnTo>
                  <a:pt x="3238" y="1729"/>
                </a:lnTo>
                <a:lnTo>
                  <a:pt x="3238" y="1746"/>
                </a:lnTo>
                <a:lnTo>
                  <a:pt x="3234" y="1765"/>
                </a:lnTo>
                <a:lnTo>
                  <a:pt x="3226" y="1781"/>
                </a:lnTo>
                <a:lnTo>
                  <a:pt x="3215" y="1794"/>
                </a:lnTo>
                <a:lnTo>
                  <a:pt x="3200" y="1805"/>
                </a:lnTo>
                <a:lnTo>
                  <a:pt x="2944" y="1940"/>
                </a:lnTo>
                <a:lnTo>
                  <a:pt x="3103" y="2190"/>
                </a:lnTo>
                <a:lnTo>
                  <a:pt x="3111" y="2206"/>
                </a:lnTo>
                <a:lnTo>
                  <a:pt x="3114" y="2224"/>
                </a:lnTo>
                <a:lnTo>
                  <a:pt x="3114" y="2241"/>
                </a:lnTo>
                <a:lnTo>
                  <a:pt x="3109" y="2258"/>
                </a:lnTo>
                <a:lnTo>
                  <a:pt x="3100" y="2274"/>
                </a:lnTo>
                <a:lnTo>
                  <a:pt x="3087" y="2286"/>
                </a:lnTo>
                <a:lnTo>
                  <a:pt x="3073" y="2295"/>
                </a:lnTo>
                <a:lnTo>
                  <a:pt x="3055" y="2301"/>
                </a:lnTo>
                <a:lnTo>
                  <a:pt x="2767" y="2358"/>
                </a:lnTo>
                <a:lnTo>
                  <a:pt x="2833" y="2643"/>
                </a:lnTo>
                <a:lnTo>
                  <a:pt x="2835" y="2661"/>
                </a:lnTo>
                <a:lnTo>
                  <a:pt x="2833" y="2678"/>
                </a:lnTo>
                <a:lnTo>
                  <a:pt x="2827" y="2694"/>
                </a:lnTo>
                <a:lnTo>
                  <a:pt x="2816" y="2709"/>
                </a:lnTo>
                <a:lnTo>
                  <a:pt x="2802" y="2722"/>
                </a:lnTo>
                <a:lnTo>
                  <a:pt x="2786" y="2729"/>
                </a:lnTo>
                <a:lnTo>
                  <a:pt x="2769" y="2733"/>
                </a:lnTo>
                <a:lnTo>
                  <a:pt x="2751" y="2733"/>
                </a:lnTo>
                <a:lnTo>
                  <a:pt x="2466" y="2690"/>
                </a:lnTo>
                <a:lnTo>
                  <a:pt x="2433" y="2975"/>
                </a:lnTo>
                <a:lnTo>
                  <a:pt x="2428" y="2992"/>
                </a:lnTo>
                <a:lnTo>
                  <a:pt x="2420" y="3007"/>
                </a:lnTo>
                <a:lnTo>
                  <a:pt x="2408" y="3020"/>
                </a:lnTo>
                <a:lnTo>
                  <a:pt x="2394" y="3031"/>
                </a:lnTo>
                <a:lnTo>
                  <a:pt x="2377" y="3037"/>
                </a:lnTo>
                <a:lnTo>
                  <a:pt x="2360" y="3039"/>
                </a:lnTo>
                <a:lnTo>
                  <a:pt x="2343" y="3037"/>
                </a:lnTo>
                <a:lnTo>
                  <a:pt x="2326" y="3032"/>
                </a:lnTo>
                <a:lnTo>
                  <a:pt x="2063" y="2900"/>
                </a:lnTo>
                <a:lnTo>
                  <a:pt x="1943" y="3160"/>
                </a:lnTo>
                <a:lnTo>
                  <a:pt x="1933" y="3176"/>
                </a:lnTo>
                <a:lnTo>
                  <a:pt x="1921" y="3188"/>
                </a:lnTo>
                <a:lnTo>
                  <a:pt x="1906" y="3197"/>
                </a:lnTo>
                <a:lnTo>
                  <a:pt x="1889" y="3202"/>
                </a:lnTo>
                <a:lnTo>
                  <a:pt x="1883" y="3203"/>
                </a:lnTo>
                <a:lnTo>
                  <a:pt x="1875" y="3203"/>
                </a:lnTo>
                <a:lnTo>
                  <a:pt x="1861" y="3201"/>
                </a:lnTo>
                <a:lnTo>
                  <a:pt x="1847" y="3197"/>
                </a:lnTo>
                <a:lnTo>
                  <a:pt x="1834" y="3190"/>
                </a:lnTo>
                <a:lnTo>
                  <a:pt x="1823" y="3180"/>
                </a:lnTo>
                <a:lnTo>
                  <a:pt x="1622" y="2970"/>
                </a:lnTo>
                <a:lnTo>
                  <a:pt x="1416" y="3181"/>
                </a:lnTo>
                <a:lnTo>
                  <a:pt x="1402" y="3192"/>
                </a:lnTo>
                <a:lnTo>
                  <a:pt x="1386" y="3200"/>
                </a:lnTo>
                <a:lnTo>
                  <a:pt x="1369" y="3203"/>
                </a:lnTo>
                <a:lnTo>
                  <a:pt x="1351" y="3202"/>
                </a:lnTo>
                <a:lnTo>
                  <a:pt x="1333" y="3197"/>
                </a:lnTo>
                <a:lnTo>
                  <a:pt x="1318" y="3188"/>
                </a:lnTo>
                <a:lnTo>
                  <a:pt x="1306" y="3176"/>
                </a:lnTo>
                <a:lnTo>
                  <a:pt x="1296" y="3161"/>
                </a:lnTo>
                <a:lnTo>
                  <a:pt x="1174" y="2900"/>
                </a:lnTo>
                <a:lnTo>
                  <a:pt x="915" y="3031"/>
                </a:lnTo>
                <a:lnTo>
                  <a:pt x="897" y="3037"/>
                </a:lnTo>
                <a:lnTo>
                  <a:pt x="879" y="3039"/>
                </a:lnTo>
                <a:lnTo>
                  <a:pt x="862" y="3037"/>
                </a:lnTo>
                <a:lnTo>
                  <a:pt x="846" y="3031"/>
                </a:lnTo>
                <a:lnTo>
                  <a:pt x="831" y="3020"/>
                </a:lnTo>
                <a:lnTo>
                  <a:pt x="820" y="3007"/>
                </a:lnTo>
                <a:lnTo>
                  <a:pt x="812" y="2991"/>
                </a:lnTo>
                <a:lnTo>
                  <a:pt x="808" y="2974"/>
                </a:lnTo>
                <a:lnTo>
                  <a:pt x="777" y="2690"/>
                </a:lnTo>
                <a:lnTo>
                  <a:pt x="494" y="2733"/>
                </a:lnTo>
                <a:lnTo>
                  <a:pt x="475" y="2733"/>
                </a:lnTo>
                <a:lnTo>
                  <a:pt x="458" y="2730"/>
                </a:lnTo>
                <a:lnTo>
                  <a:pt x="442" y="2722"/>
                </a:lnTo>
                <a:lnTo>
                  <a:pt x="428" y="2709"/>
                </a:lnTo>
                <a:lnTo>
                  <a:pt x="418" y="2694"/>
                </a:lnTo>
                <a:lnTo>
                  <a:pt x="411" y="2678"/>
                </a:lnTo>
                <a:lnTo>
                  <a:pt x="409" y="2661"/>
                </a:lnTo>
                <a:lnTo>
                  <a:pt x="411" y="2643"/>
                </a:lnTo>
                <a:lnTo>
                  <a:pt x="477" y="2358"/>
                </a:lnTo>
                <a:lnTo>
                  <a:pt x="184" y="2301"/>
                </a:lnTo>
                <a:lnTo>
                  <a:pt x="168" y="2295"/>
                </a:lnTo>
                <a:lnTo>
                  <a:pt x="152" y="2286"/>
                </a:lnTo>
                <a:lnTo>
                  <a:pt x="140" y="2274"/>
                </a:lnTo>
                <a:lnTo>
                  <a:pt x="131" y="2258"/>
                </a:lnTo>
                <a:lnTo>
                  <a:pt x="126" y="2241"/>
                </a:lnTo>
                <a:lnTo>
                  <a:pt x="125" y="2224"/>
                </a:lnTo>
                <a:lnTo>
                  <a:pt x="128" y="2207"/>
                </a:lnTo>
                <a:lnTo>
                  <a:pt x="136" y="2191"/>
                </a:lnTo>
                <a:lnTo>
                  <a:pt x="293" y="1940"/>
                </a:lnTo>
                <a:lnTo>
                  <a:pt x="38" y="1804"/>
                </a:lnTo>
                <a:lnTo>
                  <a:pt x="24" y="1794"/>
                </a:lnTo>
                <a:lnTo>
                  <a:pt x="12" y="1780"/>
                </a:lnTo>
                <a:lnTo>
                  <a:pt x="4" y="1765"/>
                </a:lnTo>
                <a:lnTo>
                  <a:pt x="0" y="1746"/>
                </a:lnTo>
                <a:lnTo>
                  <a:pt x="1" y="1728"/>
                </a:lnTo>
                <a:lnTo>
                  <a:pt x="6" y="1711"/>
                </a:lnTo>
                <a:lnTo>
                  <a:pt x="14" y="1696"/>
                </a:lnTo>
                <a:lnTo>
                  <a:pt x="27" y="1683"/>
                </a:lnTo>
                <a:lnTo>
                  <a:pt x="257" y="1494"/>
                </a:lnTo>
                <a:lnTo>
                  <a:pt x="65" y="1284"/>
                </a:lnTo>
                <a:lnTo>
                  <a:pt x="53" y="1270"/>
                </a:lnTo>
                <a:lnTo>
                  <a:pt x="47" y="1253"/>
                </a:lnTo>
                <a:lnTo>
                  <a:pt x="45" y="1236"/>
                </a:lnTo>
                <a:lnTo>
                  <a:pt x="47" y="1218"/>
                </a:lnTo>
                <a:lnTo>
                  <a:pt x="53" y="1202"/>
                </a:lnTo>
                <a:lnTo>
                  <a:pt x="64" y="1187"/>
                </a:lnTo>
                <a:lnTo>
                  <a:pt x="77" y="1175"/>
                </a:lnTo>
                <a:lnTo>
                  <a:pt x="93" y="1167"/>
                </a:lnTo>
                <a:lnTo>
                  <a:pt x="363" y="1064"/>
                </a:lnTo>
                <a:lnTo>
                  <a:pt x="254" y="804"/>
                </a:lnTo>
                <a:lnTo>
                  <a:pt x="250" y="785"/>
                </a:lnTo>
                <a:lnTo>
                  <a:pt x="249" y="768"/>
                </a:lnTo>
                <a:lnTo>
                  <a:pt x="253" y="751"/>
                </a:lnTo>
                <a:lnTo>
                  <a:pt x="260" y="735"/>
                </a:lnTo>
                <a:lnTo>
                  <a:pt x="273" y="721"/>
                </a:lnTo>
                <a:lnTo>
                  <a:pt x="287" y="711"/>
                </a:lnTo>
                <a:lnTo>
                  <a:pt x="304" y="704"/>
                </a:lnTo>
                <a:lnTo>
                  <a:pt x="321" y="701"/>
                </a:lnTo>
                <a:lnTo>
                  <a:pt x="611" y="695"/>
                </a:lnTo>
                <a:lnTo>
                  <a:pt x="598" y="402"/>
                </a:lnTo>
                <a:lnTo>
                  <a:pt x="600" y="385"/>
                </a:lnTo>
                <a:lnTo>
                  <a:pt x="605" y="368"/>
                </a:lnTo>
                <a:lnTo>
                  <a:pt x="614" y="354"/>
                </a:lnTo>
                <a:lnTo>
                  <a:pt x="627" y="341"/>
                </a:lnTo>
                <a:lnTo>
                  <a:pt x="642" y="332"/>
                </a:lnTo>
                <a:lnTo>
                  <a:pt x="659" y="327"/>
                </a:lnTo>
                <a:lnTo>
                  <a:pt x="676" y="326"/>
                </a:lnTo>
                <a:lnTo>
                  <a:pt x="693" y="329"/>
                </a:lnTo>
                <a:lnTo>
                  <a:pt x="970" y="416"/>
                </a:lnTo>
                <a:lnTo>
                  <a:pt x="1044" y="137"/>
                </a:lnTo>
                <a:lnTo>
                  <a:pt x="1050" y="121"/>
                </a:lnTo>
                <a:lnTo>
                  <a:pt x="1060" y="106"/>
                </a:lnTo>
                <a:lnTo>
                  <a:pt x="1074" y="95"/>
                </a:lnTo>
                <a:lnTo>
                  <a:pt x="1090" y="87"/>
                </a:lnTo>
                <a:lnTo>
                  <a:pt x="1108" y="83"/>
                </a:lnTo>
                <a:lnTo>
                  <a:pt x="1125" y="84"/>
                </a:lnTo>
                <a:lnTo>
                  <a:pt x="1143" y="88"/>
                </a:lnTo>
                <a:lnTo>
                  <a:pt x="1158" y="97"/>
                </a:lnTo>
                <a:lnTo>
                  <a:pt x="1394" y="269"/>
                </a:lnTo>
                <a:lnTo>
                  <a:pt x="1562" y="31"/>
                </a:lnTo>
                <a:lnTo>
                  <a:pt x="1574" y="18"/>
                </a:lnTo>
                <a:lnTo>
                  <a:pt x="1588" y="9"/>
                </a:lnTo>
                <a:lnTo>
                  <a:pt x="1604" y="3"/>
                </a:lnTo>
                <a:lnTo>
                  <a:pt x="1623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FFFFFF"/>
            </a:solidFill>
            <a:prstDash val="solid"/>
            <a:round/>
            <a:headEnd/>
            <a:tailEnd/>
          </a:ln>
        </xdr:spPr>
      </xdr:sp>
      <xdr:sp macro="" textlink="">
        <xdr:nvSpPr>
          <xdr:cNvPr id="35" name="任意多边形 62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>
            <a:spLocks noEditPoints="1"/>
          </xdr:cNvSpPr>
        </xdr:nvSpPr>
        <xdr:spPr bwMode="auto">
          <a:xfrm>
            <a:off x="704" y="851"/>
            <a:ext cx="26" cy="26"/>
          </a:xfrm>
          <a:custGeom>
            <a:avLst/>
            <a:gdLst>
              <a:gd name="T0" fmla="*/ 866 w 1889"/>
              <a:gd name="T1" fmla="*/ 1272 h 1877"/>
              <a:gd name="T2" fmla="*/ 799 w 1889"/>
              <a:gd name="T3" fmla="*/ 1339 h 1877"/>
              <a:gd name="T4" fmla="*/ 772 w 1889"/>
              <a:gd name="T5" fmla="*/ 1435 h 1877"/>
              <a:gd name="T6" fmla="*/ 798 w 1889"/>
              <a:gd name="T7" fmla="*/ 1530 h 1877"/>
              <a:gd name="T8" fmla="*/ 866 w 1889"/>
              <a:gd name="T9" fmla="*/ 1597 h 1877"/>
              <a:gd name="T10" fmla="*/ 961 w 1889"/>
              <a:gd name="T11" fmla="*/ 1622 h 1877"/>
              <a:gd name="T12" fmla="*/ 1057 w 1889"/>
              <a:gd name="T13" fmla="*/ 1597 h 1877"/>
              <a:gd name="T14" fmla="*/ 1125 w 1889"/>
              <a:gd name="T15" fmla="*/ 1530 h 1877"/>
              <a:gd name="T16" fmla="*/ 1150 w 1889"/>
              <a:gd name="T17" fmla="*/ 1435 h 1877"/>
              <a:gd name="T18" fmla="*/ 1128 w 1889"/>
              <a:gd name="T19" fmla="*/ 1347 h 1877"/>
              <a:gd name="T20" fmla="*/ 1070 w 1889"/>
              <a:gd name="T21" fmla="*/ 1281 h 1877"/>
              <a:gd name="T22" fmla="*/ 1017 w 1889"/>
              <a:gd name="T23" fmla="*/ 722 h 1877"/>
              <a:gd name="T24" fmla="*/ 1281 w 1889"/>
              <a:gd name="T25" fmla="*/ 532 h 1877"/>
              <a:gd name="T26" fmla="*/ 1448 w 1889"/>
              <a:gd name="T27" fmla="*/ 366 h 1877"/>
              <a:gd name="T28" fmla="*/ 540 w 1889"/>
              <a:gd name="T29" fmla="*/ 616 h 1877"/>
              <a:gd name="T30" fmla="*/ 709 w 1889"/>
              <a:gd name="T31" fmla="*/ 214 h 1877"/>
              <a:gd name="T32" fmla="*/ 808 w 1889"/>
              <a:gd name="T33" fmla="*/ 426 h 1877"/>
              <a:gd name="T34" fmla="*/ 1102 w 1889"/>
              <a:gd name="T35" fmla="*/ 426 h 1877"/>
              <a:gd name="T36" fmla="*/ 1201 w 1889"/>
              <a:gd name="T37" fmla="*/ 214 h 1877"/>
              <a:gd name="T38" fmla="*/ 1020 w 1889"/>
              <a:gd name="T39" fmla="*/ 412 h 1877"/>
              <a:gd name="T40" fmla="*/ 945 w 1889"/>
              <a:gd name="T41" fmla="*/ 0 h 1877"/>
              <a:gd name="T42" fmla="*/ 1171 w 1889"/>
              <a:gd name="T43" fmla="*/ 27 h 1877"/>
              <a:gd name="T44" fmla="*/ 1379 w 1889"/>
              <a:gd name="T45" fmla="*/ 104 h 1877"/>
              <a:gd name="T46" fmla="*/ 1559 w 1889"/>
              <a:gd name="T47" fmla="*/ 226 h 1877"/>
              <a:gd name="T48" fmla="*/ 1707 w 1889"/>
              <a:gd name="T49" fmla="*/ 384 h 1877"/>
              <a:gd name="T50" fmla="*/ 1815 w 1889"/>
              <a:gd name="T51" fmla="*/ 573 h 1877"/>
              <a:gd name="T52" fmla="*/ 1877 w 1889"/>
              <a:gd name="T53" fmla="*/ 787 h 1877"/>
              <a:gd name="T54" fmla="*/ 1886 w 1889"/>
              <a:gd name="T55" fmla="*/ 1015 h 1877"/>
              <a:gd name="T56" fmla="*/ 1840 w 1889"/>
              <a:gd name="T57" fmla="*/ 1235 h 1877"/>
              <a:gd name="T58" fmla="*/ 1748 w 1889"/>
              <a:gd name="T59" fmla="*/ 1433 h 1877"/>
              <a:gd name="T60" fmla="*/ 1612 w 1889"/>
              <a:gd name="T61" fmla="*/ 1602 h 1877"/>
              <a:gd name="T62" fmla="*/ 1442 w 1889"/>
              <a:gd name="T63" fmla="*/ 1736 h 1877"/>
              <a:gd name="T64" fmla="*/ 1243 w 1889"/>
              <a:gd name="T65" fmla="*/ 1829 h 1877"/>
              <a:gd name="T66" fmla="*/ 1022 w 1889"/>
              <a:gd name="T67" fmla="*/ 1874 h 1877"/>
              <a:gd name="T68" fmla="*/ 792 w 1889"/>
              <a:gd name="T69" fmla="*/ 1865 h 1877"/>
              <a:gd name="T70" fmla="*/ 577 w 1889"/>
              <a:gd name="T71" fmla="*/ 1804 h 1877"/>
              <a:gd name="T72" fmla="*/ 387 w 1889"/>
              <a:gd name="T73" fmla="*/ 1696 h 1877"/>
              <a:gd name="T74" fmla="*/ 227 w 1889"/>
              <a:gd name="T75" fmla="*/ 1549 h 1877"/>
              <a:gd name="T76" fmla="*/ 106 w 1889"/>
              <a:gd name="T77" fmla="*/ 1369 h 1877"/>
              <a:gd name="T78" fmla="*/ 28 w 1889"/>
              <a:gd name="T79" fmla="*/ 1164 h 1877"/>
              <a:gd name="T80" fmla="*/ 0 w 1889"/>
              <a:gd name="T81" fmla="*/ 939 h 1877"/>
              <a:gd name="T82" fmla="*/ 28 w 1889"/>
              <a:gd name="T83" fmla="*/ 713 h 1877"/>
              <a:gd name="T84" fmla="*/ 106 w 1889"/>
              <a:gd name="T85" fmla="*/ 508 h 1877"/>
              <a:gd name="T86" fmla="*/ 227 w 1889"/>
              <a:gd name="T87" fmla="*/ 328 h 1877"/>
              <a:gd name="T88" fmla="*/ 387 w 1889"/>
              <a:gd name="T89" fmla="*/ 181 h 1877"/>
              <a:gd name="T90" fmla="*/ 577 w 1889"/>
              <a:gd name="T91" fmla="*/ 73 h 1877"/>
              <a:gd name="T92" fmla="*/ 792 w 1889"/>
              <a:gd name="T93" fmla="*/ 12 h 18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89" h="1877">
                <a:moveTo>
                  <a:pt x="897" y="722"/>
                </a:moveTo>
                <a:lnTo>
                  <a:pt x="897" y="1259"/>
                </a:lnTo>
                <a:lnTo>
                  <a:pt x="866" y="1272"/>
                </a:lnTo>
                <a:lnTo>
                  <a:pt x="840" y="1291"/>
                </a:lnTo>
                <a:lnTo>
                  <a:pt x="817" y="1313"/>
                </a:lnTo>
                <a:lnTo>
                  <a:pt x="799" y="1339"/>
                </a:lnTo>
                <a:lnTo>
                  <a:pt x="785" y="1369"/>
                </a:lnTo>
                <a:lnTo>
                  <a:pt x="775" y="1400"/>
                </a:lnTo>
                <a:lnTo>
                  <a:pt x="772" y="1435"/>
                </a:lnTo>
                <a:lnTo>
                  <a:pt x="775" y="1469"/>
                </a:lnTo>
                <a:lnTo>
                  <a:pt x="784" y="1500"/>
                </a:lnTo>
                <a:lnTo>
                  <a:pt x="798" y="1530"/>
                </a:lnTo>
                <a:lnTo>
                  <a:pt x="817" y="1556"/>
                </a:lnTo>
                <a:lnTo>
                  <a:pt x="839" y="1578"/>
                </a:lnTo>
                <a:lnTo>
                  <a:pt x="866" y="1597"/>
                </a:lnTo>
                <a:lnTo>
                  <a:pt x="896" y="1611"/>
                </a:lnTo>
                <a:lnTo>
                  <a:pt x="927" y="1619"/>
                </a:lnTo>
                <a:lnTo>
                  <a:pt x="961" y="1622"/>
                </a:lnTo>
                <a:lnTo>
                  <a:pt x="996" y="1619"/>
                </a:lnTo>
                <a:lnTo>
                  <a:pt x="1027" y="1611"/>
                </a:lnTo>
                <a:lnTo>
                  <a:pt x="1057" y="1597"/>
                </a:lnTo>
                <a:lnTo>
                  <a:pt x="1083" y="1578"/>
                </a:lnTo>
                <a:lnTo>
                  <a:pt x="1106" y="1556"/>
                </a:lnTo>
                <a:lnTo>
                  <a:pt x="1125" y="1530"/>
                </a:lnTo>
                <a:lnTo>
                  <a:pt x="1138" y="1500"/>
                </a:lnTo>
                <a:lnTo>
                  <a:pt x="1147" y="1469"/>
                </a:lnTo>
                <a:lnTo>
                  <a:pt x="1150" y="1435"/>
                </a:lnTo>
                <a:lnTo>
                  <a:pt x="1148" y="1403"/>
                </a:lnTo>
                <a:lnTo>
                  <a:pt x="1140" y="1374"/>
                </a:lnTo>
                <a:lnTo>
                  <a:pt x="1128" y="1347"/>
                </a:lnTo>
                <a:lnTo>
                  <a:pt x="1113" y="1322"/>
                </a:lnTo>
                <a:lnTo>
                  <a:pt x="1092" y="1300"/>
                </a:lnTo>
                <a:lnTo>
                  <a:pt x="1070" y="1281"/>
                </a:lnTo>
                <a:lnTo>
                  <a:pt x="1044" y="1266"/>
                </a:lnTo>
                <a:lnTo>
                  <a:pt x="1017" y="1255"/>
                </a:lnTo>
                <a:lnTo>
                  <a:pt x="1017" y="722"/>
                </a:lnTo>
                <a:lnTo>
                  <a:pt x="897" y="722"/>
                </a:lnTo>
                <a:close/>
                <a:moveTo>
                  <a:pt x="1448" y="366"/>
                </a:moveTo>
                <a:lnTo>
                  <a:pt x="1281" y="532"/>
                </a:lnTo>
                <a:lnTo>
                  <a:pt x="1366" y="616"/>
                </a:lnTo>
                <a:lnTo>
                  <a:pt x="1533" y="450"/>
                </a:lnTo>
                <a:lnTo>
                  <a:pt x="1448" y="366"/>
                </a:lnTo>
                <a:close/>
                <a:moveTo>
                  <a:pt x="459" y="366"/>
                </a:moveTo>
                <a:lnTo>
                  <a:pt x="374" y="450"/>
                </a:lnTo>
                <a:lnTo>
                  <a:pt x="540" y="616"/>
                </a:lnTo>
                <a:lnTo>
                  <a:pt x="625" y="532"/>
                </a:lnTo>
                <a:lnTo>
                  <a:pt x="459" y="366"/>
                </a:lnTo>
                <a:close/>
                <a:moveTo>
                  <a:pt x="709" y="214"/>
                </a:moveTo>
                <a:lnTo>
                  <a:pt x="600" y="264"/>
                </a:lnTo>
                <a:lnTo>
                  <a:pt x="699" y="477"/>
                </a:lnTo>
                <a:lnTo>
                  <a:pt x="808" y="426"/>
                </a:lnTo>
                <a:lnTo>
                  <a:pt x="709" y="214"/>
                </a:lnTo>
                <a:close/>
                <a:moveTo>
                  <a:pt x="1201" y="214"/>
                </a:moveTo>
                <a:lnTo>
                  <a:pt x="1102" y="426"/>
                </a:lnTo>
                <a:lnTo>
                  <a:pt x="1211" y="477"/>
                </a:lnTo>
                <a:lnTo>
                  <a:pt x="1310" y="264"/>
                </a:lnTo>
                <a:lnTo>
                  <a:pt x="1201" y="214"/>
                </a:lnTo>
                <a:close/>
                <a:moveTo>
                  <a:pt x="900" y="179"/>
                </a:moveTo>
                <a:lnTo>
                  <a:pt x="900" y="412"/>
                </a:lnTo>
                <a:lnTo>
                  <a:pt x="1020" y="412"/>
                </a:lnTo>
                <a:lnTo>
                  <a:pt x="1020" y="179"/>
                </a:lnTo>
                <a:lnTo>
                  <a:pt x="900" y="179"/>
                </a:lnTo>
                <a:close/>
                <a:moveTo>
                  <a:pt x="945" y="0"/>
                </a:moveTo>
                <a:lnTo>
                  <a:pt x="1022" y="3"/>
                </a:lnTo>
                <a:lnTo>
                  <a:pt x="1097" y="12"/>
                </a:lnTo>
                <a:lnTo>
                  <a:pt x="1171" y="27"/>
                </a:lnTo>
                <a:lnTo>
                  <a:pt x="1243" y="48"/>
                </a:lnTo>
                <a:lnTo>
                  <a:pt x="1312" y="73"/>
                </a:lnTo>
                <a:lnTo>
                  <a:pt x="1379" y="104"/>
                </a:lnTo>
                <a:lnTo>
                  <a:pt x="1442" y="141"/>
                </a:lnTo>
                <a:lnTo>
                  <a:pt x="1502" y="181"/>
                </a:lnTo>
                <a:lnTo>
                  <a:pt x="1559" y="226"/>
                </a:lnTo>
                <a:lnTo>
                  <a:pt x="1612" y="275"/>
                </a:lnTo>
                <a:lnTo>
                  <a:pt x="1662" y="328"/>
                </a:lnTo>
                <a:lnTo>
                  <a:pt x="1707" y="384"/>
                </a:lnTo>
                <a:lnTo>
                  <a:pt x="1748" y="444"/>
                </a:lnTo>
                <a:lnTo>
                  <a:pt x="1784" y="508"/>
                </a:lnTo>
                <a:lnTo>
                  <a:pt x="1815" y="573"/>
                </a:lnTo>
                <a:lnTo>
                  <a:pt x="1840" y="642"/>
                </a:lnTo>
                <a:lnTo>
                  <a:pt x="1862" y="713"/>
                </a:lnTo>
                <a:lnTo>
                  <a:pt x="1877" y="787"/>
                </a:lnTo>
                <a:lnTo>
                  <a:pt x="1886" y="862"/>
                </a:lnTo>
                <a:lnTo>
                  <a:pt x="1889" y="939"/>
                </a:lnTo>
                <a:lnTo>
                  <a:pt x="1886" y="1015"/>
                </a:lnTo>
                <a:lnTo>
                  <a:pt x="1877" y="1090"/>
                </a:lnTo>
                <a:lnTo>
                  <a:pt x="1862" y="1164"/>
                </a:lnTo>
                <a:lnTo>
                  <a:pt x="1840" y="1235"/>
                </a:lnTo>
                <a:lnTo>
                  <a:pt x="1815" y="1304"/>
                </a:lnTo>
                <a:lnTo>
                  <a:pt x="1784" y="1369"/>
                </a:lnTo>
                <a:lnTo>
                  <a:pt x="1748" y="1433"/>
                </a:lnTo>
                <a:lnTo>
                  <a:pt x="1707" y="1493"/>
                </a:lnTo>
                <a:lnTo>
                  <a:pt x="1662" y="1549"/>
                </a:lnTo>
                <a:lnTo>
                  <a:pt x="1612" y="1602"/>
                </a:lnTo>
                <a:lnTo>
                  <a:pt x="1559" y="1651"/>
                </a:lnTo>
                <a:lnTo>
                  <a:pt x="1502" y="1696"/>
                </a:lnTo>
                <a:lnTo>
                  <a:pt x="1442" y="1736"/>
                </a:lnTo>
                <a:lnTo>
                  <a:pt x="1379" y="1773"/>
                </a:lnTo>
                <a:lnTo>
                  <a:pt x="1312" y="1804"/>
                </a:lnTo>
                <a:lnTo>
                  <a:pt x="1243" y="1829"/>
                </a:lnTo>
                <a:lnTo>
                  <a:pt x="1171" y="1850"/>
                </a:lnTo>
                <a:lnTo>
                  <a:pt x="1097" y="1865"/>
                </a:lnTo>
                <a:lnTo>
                  <a:pt x="1022" y="1874"/>
                </a:lnTo>
                <a:lnTo>
                  <a:pt x="945" y="1877"/>
                </a:lnTo>
                <a:lnTo>
                  <a:pt x="867" y="1874"/>
                </a:lnTo>
                <a:lnTo>
                  <a:pt x="792" y="1865"/>
                </a:lnTo>
                <a:lnTo>
                  <a:pt x="718" y="1850"/>
                </a:lnTo>
                <a:lnTo>
                  <a:pt x="646" y="1829"/>
                </a:lnTo>
                <a:lnTo>
                  <a:pt x="577" y="1804"/>
                </a:lnTo>
                <a:lnTo>
                  <a:pt x="511" y="1773"/>
                </a:lnTo>
                <a:lnTo>
                  <a:pt x="447" y="1736"/>
                </a:lnTo>
                <a:lnTo>
                  <a:pt x="387" y="1696"/>
                </a:lnTo>
                <a:lnTo>
                  <a:pt x="330" y="1651"/>
                </a:lnTo>
                <a:lnTo>
                  <a:pt x="277" y="1602"/>
                </a:lnTo>
                <a:lnTo>
                  <a:pt x="227" y="1549"/>
                </a:lnTo>
                <a:lnTo>
                  <a:pt x="183" y="1493"/>
                </a:lnTo>
                <a:lnTo>
                  <a:pt x="142" y="1433"/>
                </a:lnTo>
                <a:lnTo>
                  <a:pt x="106" y="1369"/>
                </a:lnTo>
                <a:lnTo>
                  <a:pt x="75" y="1304"/>
                </a:lnTo>
                <a:lnTo>
                  <a:pt x="49" y="1235"/>
                </a:lnTo>
                <a:lnTo>
                  <a:pt x="28" y="1164"/>
                </a:lnTo>
                <a:lnTo>
                  <a:pt x="12" y="1090"/>
                </a:lnTo>
                <a:lnTo>
                  <a:pt x="3" y="1015"/>
                </a:lnTo>
                <a:lnTo>
                  <a:pt x="0" y="939"/>
                </a:lnTo>
                <a:lnTo>
                  <a:pt x="3" y="862"/>
                </a:lnTo>
                <a:lnTo>
                  <a:pt x="12" y="787"/>
                </a:lnTo>
                <a:lnTo>
                  <a:pt x="28" y="713"/>
                </a:lnTo>
                <a:lnTo>
                  <a:pt x="49" y="642"/>
                </a:lnTo>
                <a:lnTo>
                  <a:pt x="75" y="573"/>
                </a:lnTo>
                <a:lnTo>
                  <a:pt x="106" y="508"/>
                </a:lnTo>
                <a:lnTo>
                  <a:pt x="142" y="444"/>
                </a:lnTo>
                <a:lnTo>
                  <a:pt x="183" y="384"/>
                </a:lnTo>
                <a:lnTo>
                  <a:pt x="227" y="328"/>
                </a:lnTo>
                <a:lnTo>
                  <a:pt x="277" y="275"/>
                </a:lnTo>
                <a:lnTo>
                  <a:pt x="330" y="226"/>
                </a:lnTo>
                <a:lnTo>
                  <a:pt x="387" y="181"/>
                </a:lnTo>
                <a:lnTo>
                  <a:pt x="447" y="141"/>
                </a:lnTo>
                <a:lnTo>
                  <a:pt x="511" y="104"/>
                </a:lnTo>
                <a:lnTo>
                  <a:pt x="577" y="73"/>
                </a:lnTo>
                <a:lnTo>
                  <a:pt x="646" y="48"/>
                </a:lnTo>
                <a:lnTo>
                  <a:pt x="718" y="27"/>
                </a:lnTo>
                <a:lnTo>
                  <a:pt x="792" y="12"/>
                </a:lnTo>
                <a:lnTo>
                  <a:pt x="867" y="3"/>
                </a:lnTo>
                <a:lnTo>
                  <a:pt x="945" y="0"/>
                </a:lnTo>
                <a:close/>
              </a:path>
            </a:pathLst>
          </a:custGeom>
          <a:solidFill>
            <a:schemeClr val="tx2"/>
          </a:solidFill>
          <a:ln w="0">
            <a:solidFill>
              <a:schemeClr val="tx2"/>
            </a:solidFill>
            <a:prstDash val="solid"/>
            <a:round/>
            <a:headEnd/>
            <a:tailEnd/>
          </a:ln>
        </xdr:spPr>
      </xdr:sp>
    </xdr:grpSp>
    <xdr:clientData fPrintsWithSheet="0"/>
  </xdr:twoCellAnchor>
  <xdr:twoCellAnchor>
    <xdr:from>
      <xdr:col>4</xdr:col>
      <xdr:colOff>276224</xdr:colOff>
      <xdr:row>1</xdr:row>
      <xdr:rowOff>38100</xdr:rowOff>
    </xdr:from>
    <xdr:to>
      <xdr:col>10</xdr:col>
      <xdr:colOff>723900</xdr:colOff>
      <xdr:row>2</xdr:row>
      <xdr:rowOff>200025</xdr:rowOff>
    </xdr:to>
    <xdr:sp macro="" textlink="">
      <xdr:nvSpPr>
        <xdr:cNvPr id="10" name="矩形 9" descr="通过修改您在此处看到的信息来根据您的需求自定义“预算”工作表上的下拉列表。请注意，您可能需要向下滚动才能查看所有表。" title="下拉列表自定义提示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248149" y="476250"/>
          <a:ext cx="5219701" cy="43815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800">
              <a:solidFill>
                <a:schemeClr val="tx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通过修改您在此处看到的信息来根据您的需求自定义“预算”工作表上的下拉列表。请注意，您可能需要向下滚动才能查看所有表。</a:t>
          </a:r>
          <a:endParaRPr lang="en-US" sz="800">
            <a:solidFill>
              <a:schemeClr val="tx2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blIncome" displayName="tblIncome" ref="B13:P18" headerRowCount="0" totalsRowCount="1" headerRowDxfId="849" dataDxfId="848" totalsRowDxfId="847">
  <tableColumns count="15">
    <tableColumn id="1" name="收入" totalsRowFunction="custom" headerRowDxfId="846" dataDxfId="845" totalsRowDxfId="844">
      <totalsRowFormula>UPPER(B12&amp;" 总额")</totalsRowFormula>
    </tableColumn>
    <tableColumn id="2" name="1 月" totalsRowFunction="custom" headerRowDxfId="843" dataDxfId="842" totalsRowDxfId="841">
      <totalsRowFormula>SUM(tblIncome[1 月])</totalsRowFormula>
    </tableColumn>
    <tableColumn id="3" name="2 月" totalsRowFunction="custom" headerRowDxfId="840" dataDxfId="839" totalsRowDxfId="838">
      <totalsRowFormula>SUM(tblIncome[2 月])</totalsRowFormula>
    </tableColumn>
    <tableColumn id="4" name="3 月" totalsRowFunction="custom" headerRowDxfId="837" dataDxfId="836" totalsRowDxfId="835">
      <totalsRowFormula>SUM(tblIncome[3 月])</totalsRowFormula>
    </tableColumn>
    <tableColumn id="5" name="4 月" totalsRowFunction="custom" headerRowDxfId="834" dataDxfId="833" totalsRowDxfId="832">
      <totalsRowFormula>SUM(tblIncome[4 月])</totalsRowFormula>
    </tableColumn>
    <tableColumn id="6" name="5 月" totalsRowFunction="custom" headerRowDxfId="831" dataDxfId="830" totalsRowDxfId="829">
      <totalsRowFormula>SUM(tblIncome[5 月])</totalsRowFormula>
    </tableColumn>
    <tableColumn id="7" name="6 月" totalsRowFunction="custom" headerRowDxfId="828" dataDxfId="827" totalsRowDxfId="826">
      <totalsRowFormula>SUM(tblIncome[6 月])</totalsRowFormula>
    </tableColumn>
    <tableColumn id="8" name="7 月" totalsRowFunction="custom" headerRowDxfId="825" dataDxfId="824" totalsRowDxfId="823">
      <totalsRowFormula>SUM(tblIncome[7 月])</totalsRowFormula>
    </tableColumn>
    <tableColumn id="9" name="8 月" totalsRowFunction="custom" headerRowDxfId="822" dataDxfId="821" totalsRowDxfId="820">
      <totalsRowFormula>SUM(tblIncome[8 月])</totalsRowFormula>
    </tableColumn>
    <tableColumn id="10" name="9 月" totalsRowFunction="custom" headerRowDxfId="819" dataDxfId="818" totalsRowDxfId="817">
      <totalsRowFormula>SUM(tblIncome[9 月])</totalsRowFormula>
    </tableColumn>
    <tableColumn id="11" name="10 月" totalsRowFunction="custom" headerRowDxfId="816" dataDxfId="815" totalsRowDxfId="814">
      <totalsRowFormula>SUM(tblIncome[10 月])</totalsRowFormula>
    </tableColumn>
    <tableColumn id="12" name="11 月" totalsRowFunction="custom" headerRowDxfId="813" dataDxfId="812" totalsRowDxfId="811">
      <totalsRowFormula>SUM(tblIncome[11 月])</totalsRowFormula>
    </tableColumn>
    <tableColumn id="13" name="12 月" totalsRowFunction="custom" headerRowDxfId="810" dataDxfId="809" totalsRowDxfId="808">
      <totalsRowFormula>SUM(tblIncome[12 月])</totalsRowFormula>
    </tableColumn>
    <tableColumn id="14" name="年" totalsRowFunction="custom" headerRowDxfId="807" dataDxfId="806" totalsRowDxfId="805">
      <calculatedColumnFormula>SUM(tblIncome[[#This Row],[1 月]:[12 月]])</calculatedColumnFormula>
      <totalsRowFormula>SUM(tblIncome[年])</totalsRowFormula>
    </tableColumn>
    <tableColumn id="15" name="平均" totalsRowFunction="custom" headerRowDxfId="804" dataDxfId="803" totalsRowDxfId="802">
      <calculatedColumnFormula>tblIncome[[#This Row],[年]]/12</calculatedColumnFormula>
      <totalsRowFormula>tblIncome[[#Totals],[年]]/12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Income" altTextSummary="List of monthly income sources and amounts"/>
    </ext>
  </extLst>
</table>
</file>

<file path=xl/tables/table2.xml><?xml version="1.0" encoding="utf-8"?>
<table xmlns="http://schemas.openxmlformats.org/spreadsheetml/2006/main" id="2" name="tblExpenseCategory_01" displayName="tblExpenseCategory_01" ref="B22:P27" headerRowCount="0" totalsRowCount="1" headerRowDxfId="801" dataDxfId="800" totalsRowDxfId="799">
  <tableColumns count="15">
    <tableColumn id="1" name="住宅" totalsRowFunction="custom" headerRowDxfId="798" dataDxfId="797" totalsRowDxfId="796">
      <totalsRowFormula>UPPER(B21&amp;" 总额")</totalsRowFormula>
    </tableColumn>
    <tableColumn id="2" name="1 月" totalsRowFunction="custom" headerRowDxfId="795" dataDxfId="794" totalsRowDxfId="793">
      <totalsRowFormula>SUM(tblExpenseCategory_01[1 月])</totalsRowFormula>
    </tableColumn>
    <tableColumn id="3" name="2 月" totalsRowFunction="custom" headerRowDxfId="792" dataDxfId="791" totalsRowDxfId="790">
      <totalsRowFormula>SUM(tblExpenseCategory_01[2 月])</totalsRowFormula>
    </tableColumn>
    <tableColumn id="4" name="3 月" totalsRowFunction="custom" headerRowDxfId="789" dataDxfId="788" totalsRowDxfId="787">
      <totalsRowFormula>SUM(tblExpenseCategory_01[3 月])</totalsRowFormula>
    </tableColumn>
    <tableColumn id="5" name="4 月" totalsRowFunction="custom" headerRowDxfId="786" dataDxfId="785" totalsRowDxfId="784">
      <totalsRowFormula>SUM(tblExpenseCategory_01[4 月])</totalsRowFormula>
    </tableColumn>
    <tableColumn id="6" name="5 月" totalsRowFunction="custom" headerRowDxfId="783" dataDxfId="782" totalsRowDxfId="781">
      <totalsRowFormula>SUM(tblExpenseCategory_01[5 月])</totalsRowFormula>
    </tableColumn>
    <tableColumn id="7" name="6 月" totalsRowFunction="custom" headerRowDxfId="780" dataDxfId="779" totalsRowDxfId="778">
      <totalsRowFormula>SUM(tblExpenseCategory_01[6 月])</totalsRowFormula>
    </tableColumn>
    <tableColumn id="8" name="7 月" totalsRowFunction="custom" headerRowDxfId="777" dataDxfId="776" totalsRowDxfId="775">
      <totalsRowFormula>SUM(tblExpenseCategory_01[7 月])</totalsRowFormula>
    </tableColumn>
    <tableColumn id="9" name="8 月" totalsRowFunction="custom" headerRowDxfId="774" dataDxfId="773" totalsRowDxfId="772">
      <totalsRowFormula>SUM(tblExpenseCategory_01[8 月])</totalsRowFormula>
    </tableColumn>
    <tableColumn id="10" name="9 月" totalsRowFunction="custom" headerRowDxfId="771" dataDxfId="770" totalsRowDxfId="769">
      <totalsRowFormula>SUM(tblExpenseCategory_01[9 月])</totalsRowFormula>
    </tableColumn>
    <tableColumn id="11" name="10 月" totalsRowFunction="custom" headerRowDxfId="768" dataDxfId="767" totalsRowDxfId="766">
      <totalsRowFormula>SUM(tblExpenseCategory_01[10 月])</totalsRowFormula>
    </tableColumn>
    <tableColumn id="12" name="11 月" totalsRowFunction="custom" headerRowDxfId="765" dataDxfId="764" totalsRowDxfId="763">
      <totalsRowFormula>SUM(tblExpenseCategory_01[11 月])</totalsRowFormula>
    </tableColumn>
    <tableColumn id="13" name="12 月" totalsRowFunction="custom" headerRowDxfId="762" dataDxfId="761" totalsRowDxfId="760">
      <totalsRowFormula>SUM(tblExpenseCategory_01[12 月])</totalsRowFormula>
    </tableColumn>
    <tableColumn id="14" name="年" totalsRowFunction="custom" headerRowDxfId="759" dataDxfId="758" totalsRowDxfId="757">
      <calculatedColumnFormula>SUM(tblExpenseCategory_01[[#This Row],[1 月]:[12 月]])</calculatedColumnFormula>
      <totalsRowFormula>SUM(tblExpenseCategory_01[年])</totalsRowFormula>
    </tableColumn>
    <tableColumn id="15" name="平均" totalsRowFunction="custom" headerRowDxfId="756" dataDxfId="755" totalsRowDxfId="754">
      <calculatedColumnFormula>tblExpenseCategory_01[[#This Row],[年]]/12</calculatedColumnFormula>
      <totalsRowFormula>tblExpenseCategory_01[[#Totals],[年]]/12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Home expenses" altTextSummary="List of home expenses by month such as, Mortgage/Rent, Electricity, Phone, etc."/>
    </ext>
  </extLst>
</table>
</file>

<file path=xl/tables/table3.xml><?xml version="1.0" encoding="utf-8"?>
<table xmlns="http://schemas.openxmlformats.org/spreadsheetml/2006/main" id="3" name="tblExpenseCategory_02" displayName="tblExpenseCategory_02" ref="B31:P36" headerRowCount="0" totalsRowCount="1" headerRowDxfId="753" dataDxfId="752" totalsRowDxfId="751">
  <tableColumns count="15">
    <tableColumn id="1" name="日常生活" totalsRowFunction="custom" headerRowDxfId="750" dataDxfId="749" totalsRowDxfId="748">
      <totalsRowFormula>UPPER(B30&amp;" 总额")</totalsRowFormula>
    </tableColumn>
    <tableColumn id="2" name="1 月" totalsRowFunction="custom" headerRowDxfId="747" dataDxfId="746" totalsRowDxfId="745">
      <totalsRowFormula>SUM(tblExpenseCategory_02[1 月])</totalsRowFormula>
    </tableColumn>
    <tableColumn id="3" name="2 月" totalsRowFunction="custom" headerRowDxfId="744" dataDxfId="743" totalsRowDxfId="742">
      <totalsRowFormula>SUM(tblExpenseCategory_02[2 月])</totalsRowFormula>
    </tableColumn>
    <tableColumn id="4" name="3 月" totalsRowFunction="custom" headerRowDxfId="741" dataDxfId="740" totalsRowDxfId="739">
      <totalsRowFormula>SUM(tblExpenseCategory_02[3 月])</totalsRowFormula>
    </tableColumn>
    <tableColumn id="5" name="4 月" totalsRowFunction="custom" headerRowDxfId="738" dataDxfId="737" totalsRowDxfId="736">
      <totalsRowFormula>SUM(tblExpenseCategory_02[4 月])</totalsRowFormula>
    </tableColumn>
    <tableColumn id="6" name="5 月" totalsRowFunction="custom" headerRowDxfId="735" dataDxfId="734" totalsRowDxfId="733">
      <totalsRowFormula>SUM(tblExpenseCategory_02[5 月])</totalsRowFormula>
    </tableColumn>
    <tableColumn id="7" name="6 月" totalsRowFunction="custom" headerRowDxfId="732" dataDxfId="731" totalsRowDxfId="730">
      <totalsRowFormula>SUM(tblExpenseCategory_02[6 月])</totalsRowFormula>
    </tableColumn>
    <tableColumn id="8" name="7 月" totalsRowFunction="custom" headerRowDxfId="729" dataDxfId="728" totalsRowDxfId="727">
      <totalsRowFormula>SUM(tblExpenseCategory_02[7 月])</totalsRowFormula>
    </tableColumn>
    <tableColumn id="9" name="8 月" totalsRowFunction="custom" headerRowDxfId="726" dataDxfId="725" totalsRowDxfId="724">
      <totalsRowFormula>SUM(tblExpenseCategory_02[8 月])</totalsRowFormula>
    </tableColumn>
    <tableColumn id="10" name="9 月" totalsRowFunction="custom" headerRowDxfId="723" dataDxfId="722" totalsRowDxfId="721">
      <totalsRowFormula>SUM(tblExpenseCategory_02[9 月])</totalsRowFormula>
    </tableColumn>
    <tableColumn id="11" name="10 月" totalsRowFunction="custom" headerRowDxfId="720" dataDxfId="719" totalsRowDxfId="718">
      <totalsRowFormula>SUM(tblExpenseCategory_02[10 月])</totalsRowFormula>
    </tableColumn>
    <tableColumn id="12" name="11 月" totalsRowFunction="custom" headerRowDxfId="717" dataDxfId="716" totalsRowDxfId="715">
      <totalsRowFormula>SUM(tblExpenseCategory_02[11 月])</totalsRowFormula>
    </tableColumn>
    <tableColumn id="13" name="12 月" totalsRowFunction="custom" headerRowDxfId="714" dataDxfId="713" totalsRowDxfId="712">
      <totalsRowFormula>SUM(tblExpenseCategory_02[12 月])</totalsRowFormula>
    </tableColumn>
    <tableColumn id="14" name="年" totalsRowFunction="custom" headerRowDxfId="711" dataDxfId="710" totalsRowDxfId="709">
      <calculatedColumnFormula>SUM(tblExpenseCategory_02[[#This Row],[1 月]:[12 月]])</calculatedColumnFormula>
      <totalsRowFormula>SUM(tblExpenseCategory_02[年])</totalsRowFormula>
    </tableColumn>
    <tableColumn id="15" name="平均" totalsRowFunction="custom" headerRowDxfId="708" dataDxfId="707" totalsRowDxfId="706">
      <calculatedColumnFormula>tblExpenseCategory_02[[#This Row],[年]]/12</calculatedColumnFormula>
      <totalsRowFormula>tblExpenseCategory_02[[#Totals],[年]]/12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Daily Living expenses" altTextSummary="List of daily living expenses by month such as, Groceries, Clothing, etc. "/>
    </ext>
  </extLst>
</table>
</file>

<file path=xl/tables/table4.xml><?xml version="1.0" encoding="utf-8"?>
<table xmlns="http://schemas.openxmlformats.org/spreadsheetml/2006/main" id="4" name="tblExpenseCategory_03" displayName="tblExpenseCategory_03" ref="B40:P45" headerRowCount="0" totalsRowCount="1" headerRowDxfId="705" dataDxfId="704" totalsRowDxfId="703">
  <tableColumns count="15">
    <tableColumn id="1" name="孩子" totalsRowFunction="custom" headerRowDxfId="702" dataDxfId="701" totalsRowDxfId="700">
      <totalsRowFormula>UPPER(B39&amp;" 总额")</totalsRowFormula>
    </tableColumn>
    <tableColumn id="2" name="1 月" totalsRowFunction="custom" headerRowDxfId="699" dataDxfId="698" totalsRowDxfId="697">
      <totalsRowFormula>SUM(tblExpenseCategory_03[1 月])</totalsRowFormula>
    </tableColumn>
    <tableColumn id="3" name="2 月" totalsRowFunction="custom" headerRowDxfId="696" dataDxfId="695" totalsRowDxfId="694">
      <totalsRowFormula>SUM(tblExpenseCategory_03[2 月])</totalsRowFormula>
    </tableColumn>
    <tableColumn id="4" name="3 月" totalsRowFunction="custom" headerRowDxfId="693" dataDxfId="692" totalsRowDxfId="691">
      <totalsRowFormula>SUM(tblExpenseCategory_03[3 月])</totalsRowFormula>
    </tableColumn>
    <tableColumn id="5" name="4 月" totalsRowFunction="custom" headerRowDxfId="690" dataDxfId="689" totalsRowDxfId="688">
      <totalsRowFormula>SUM(tblExpenseCategory_03[4 月])</totalsRowFormula>
    </tableColumn>
    <tableColumn id="6" name="5 月" totalsRowFunction="custom" headerRowDxfId="687" dataDxfId="686" totalsRowDxfId="685">
      <totalsRowFormula>SUM(tblExpenseCategory_03[5 月])</totalsRowFormula>
    </tableColumn>
    <tableColumn id="7" name="6 月" totalsRowFunction="custom" headerRowDxfId="684" dataDxfId="683" totalsRowDxfId="682">
      <totalsRowFormula>SUM(tblExpenseCategory_03[6 月])</totalsRowFormula>
    </tableColumn>
    <tableColumn id="8" name="7 月" totalsRowFunction="custom" headerRowDxfId="681" dataDxfId="680" totalsRowDxfId="679">
      <totalsRowFormula>SUM(tblExpenseCategory_03[7 月])</totalsRowFormula>
    </tableColumn>
    <tableColumn id="9" name="8 月" totalsRowFunction="custom" headerRowDxfId="678" dataDxfId="677" totalsRowDxfId="676">
      <totalsRowFormula>SUM(tblExpenseCategory_03[8 月])</totalsRowFormula>
    </tableColumn>
    <tableColumn id="10" name="9 月" totalsRowFunction="custom" headerRowDxfId="675" dataDxfId="674" totalsRowDxfId="673">
      <totalsRowFormula>SUM(tblExpenseCategory_03[9 月])</totalsRowFormula>
    </tableColumn>
    <tableColumn id="11" name="10 月" totalsRowFunction="custom" headerRowDxfId="672" dataDxfId="671" totalsRowDxfId="670">
      <totalsRowFormula>SUM(tblExpenseCategory_03[10 月])</totalsRowFormula>
    </tableColumn>
    <tableColumn id="12" name="11 月" totalsRowFunction="custom" headerRowDxfId="669" dataDxfId="668" totalsRowDxfId="667">
      <totalsRowFormula>SUM(tblExpenseCategory_03[11 月])</totalsRowFormula>
    </tableColumn>
    <tableColumn id="13" name="12 月" totalsRowFunction="custom" headerRowDxfId="666" dataDxfId="665" totalsRowDxfId="664">
      <totalsRowFormula>SUM(tblExpenseCategory_03[12 月])</totalsRowFormula>
    </tableColumn>
    <tableColumn id="14" name="年" totalsRowFunction="custom" headerRowDxfId="663" dataDxfId="662" totalsRowDxfId="661">
      <calculatedColumnFormula>SUM(tblExpenseCategory_03[[#This Row],[1 月]:[12 月]])</calculatedColumnFormula>
      <totalsRowFormula>SUM(tblExpenseCategory_03[年])</totalsRowFormula>
    </tableColumn>
    <tableColumn id="15" name="平均" totalsRowFunction="custom" headerRowDxfId="660" dataDxfId="659" totalsRowDxfId="658">
      <calculatedColumnFormula>tblExpenseCategory_03[[#This Row],[年]]/12</calculatedColumnFormula>
      <totalsRowFormula>tblExpenseCategory_03[[#Totals],[年]]/12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Children expenses" altTextSummary="List of your children's expenses by month such as School Supplies, Clothing, School Lunch, etc."/>
    </ext>
  </extLst>
</table>
</file>

<file path=xl/tables/table5.xml><?xml version="1.0" encoding="utf-8"?>
<table xmlns="http://schemas.openxmlformats.org/spreadsheetml/2006/main" id="5" name="tblExpenseCategory_04" displayName="tblExpenseCategory_04" ref="B49:P54" headerRowCount="0" totalsRowCount="1" headerRowDxfId="657" dataDxfId="656" totalsRowDxfId="655">
  <tableColumns count="15">
    <tableColumn id="1" name="交通" totalsRowFunction="custom" headerRowDxfId="654" dataDxfId="653" totalsRowDxfId="652">
      <totalsRowFormula>UPPER(B48&amp;" 总额")</totalsRowFormula>
    </tableColumn>
    <tableColumn id="2" name="1 月" totalsRowFunction="custom" headerRowDxfId="651" dataDxfId="650" totalsRowDxfId="649">
      <totalsRowFormula>SUM(tblExpenseCategory_04[1 月])</totalsRowFormula>
    </tableColumn>
    <tableColumn id="3" name="2 月" totalsRowFunction="custom" headerRowDxfId="648" dataDxfId="647" totalsRowDxfId="646">
      <totalsRowFormula>SUM(tblExpenseCategory_04[2 月])</totalsRowFormula>
    </tableColumn>
    <tableColumn id="4" name="3 月" totalsRowFunction="custom" headerRowDxfId="645" dataDxfId="644" totalsRowDxfId="643">
      <totalsRowFormula>SUM(tblExpenseCategory_04[3 月])</totalsRowFormula>
    </tableColumn>
    <tableColumn id="5" name="4 月" totalsRowFunction="custom" headerRowDxfId="642" dataDxfId="641" totalsRowDxfId="640">
      <totalsRowFormula>SUM(tblExpenseCategory_04[4 月])</totalsRowFormula>
    </tableColumn>
    <tableColumn id="6" name="5 月" totalsRowFunction="custom" headerRowDxfId="639" dataDxfId="638" totalsRowDxfId="637">
      <totalsRowFormula>SUM(tblExpenseCategory_04[5 月])</totalsRowFormula>
    </tableColumn>
    <tableColumn id="7" name="6 月" totalsRowFunction="custom" headerRowDxfId="636" dataDxfId="635" totalsRowDxfId="634">
      <totalsRowFormula>SUM(tblExpenseCategory_04[6 月])</totalsRowFormula>
    </tableColumn>
    <tableColumn id="8" name="7 月" totalsRowFunction="custom" headerRowDxfId="633" dataDxfId="632" totalsRowDxfId="631">
      <totalsRowFormula>SUM(tblExpenseCategory_04[7 月])</totalsRowFormula>
    </tableColumn>
    <tableColumn id="9" name="8 月" totalsRowFunction="custom" headerRowDxfId="630" dataDxfId="629" totalsRowDxfId="628">
      <totalsRowFormula>SUM(tblExpenseCategory_04[8 月])</totalsRowFormula>
    </tableColumn>
    <tableColumn id="10" name="9 月" totalsRowFunction="custom" headerRowDxfId="627" dataDxfId="626" totalsRowDxfId="625">
      <totalsRowFormula>SUM(tblExpenseCategory_04[9 月])</totalsRowFormula>
    </tableColumn>
    <tableColumn id="11" name="10 月" totalsRowFunction="custom" headerRowDxfId="624" dataDxfId="623" totalsRowDxfId="622">
      <totalsRowFormula>SUM(tblExpenseCategory_04[10 月])</totalsRowFormula>
    </tableColumn>
    <tableColumn id="12" name="11 月" totalsRowFunction="custom" headerRowDxfId="621" dataDxfId="620" totalsRowDxfId="619">
      <totalsRowFormula>SUM(tblExpenseCategory_04[11 月])</totalsRowFormula>
    </tableColumn>
    <tableColumn id="13" name="12 月" totalsRowFunction="custom" headerRowDxfId="618" dataDxfId="617" totalsRowDxfId="616">
      <totalsRowFormula>SUM(tblExpenseCategory_04[12 月])</totalsRowFormula>
    </tableColumn>
    <tableColumn id="14" name="年" totalsRowFunction="custom" headerRowDxfId="615" dataDxfId="614" totalsRowDxfId="613">
      <calculatedColumnFormula>SUM(tblExpenseCategory_04[[#This Row],[1 月]:[12 月]])</calculatedColumnFormula>
      <totalsRowFormula>SUM(tblExpenseCategory_04[年])</totalsRowFormula>
    </tableColumn>
    <tableColumn id="15" name="平均" totalsRowFunction="custom" headerRowDxfId="612" dataDxfId="611" totalsRowDxfId="610">
      <calculatedColumnFormula>tblExpenseCategory_04[[#This Row],[年]]/12</calculatedColumnFormula>
      <totalsRowFormula>tblExpenseCategory_04[[#Totals],[年]]/12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Transportation expenses" altTextSummary="List of transportation expenses by month such as Vehicle Payments, Fuel, Repairs, etc."/>
    </ext>
  </extLst>
</table>
</file>

<file path=xl/tables/table6.xml><?xml version="1.0" encoding="utf-8"?>
<table xmlns="http://schemas.openxmlformats.org/spreadsheetml/2006/main" id="6" name="tblExpenseCategory_05" displayName="tblExpenseCategory_05" ref="B58:P61" headerRowCount="0" totalsRowCount="1" headerRowDxfId="609" dataDxfId="608" totalsRowDxfId="607">
  <tableColumns count="15">
    <tableColumn id="1" name="健康" totalsRowFunction="custom" headerRowDxfId="606" dataDxfId="605" totalsRowDxfId="604">
      <totalsRowFormula>UPPER(B57&amp;" 总额")</totalsRowFormula>
    </tableColumn>
    <tableColumn id="2" name="1 月" totalsRowFunction="custom" headerRowDxfId="603" dataDxfId="602" totalsRowDxfId="601">
      <totalsRowFormula>SUM(tblExpenseCategory_05[1 月])</totalsRowFormula>
    </tableColumn>
    <tableColumn id="3" name="2 月" totalsRowFunction="custom" headerRowDxfId="600" dataDxfId="599" totalsRowDxfId="598">
      <totalsRowFormula>SUM(tblExpenseCategory_05[2 月])</totalsRowFormula>
    </tableColumn>
    <tableColumn id="4" name="3 月" totalsRowFunction="custom" headerRowDxfId="597" dataDxfId="596" totalsRowDxfId="595">
      <totalsRowFormula>SUM(tblExpenseCategory_05[3 月])</totalsRowFormula>
    </tableColumn>
    <tableColumn id="5" name="4 月" totalsRowFunction="custom" headerRowDxfId="594" dataDxfId="593" totalsRowDxfId="592">
      <totalsRowFormula>SUM(tblExpenseCategory_05[4 月])</totalsRowFormula>
    </tableColumn>
    <tableColumn id="6" name="5 月" totalsRowFunction="custom" headerRowDxfId="591" dataDxfId="590" totalsRowDxfId="589">
      <totalsRowFormula>SUM(tblExpenseCategory_05[5 月])</totalsRowFormula>
    </tableColumn>
    <tableColumn id="7" name="6 月" totalsRowFunction="custom" headerRowDxfId="588" dataDxfId="587" totalsRowDxfId="586">
      <totalsRowFormula>SUM(tblExpenseCategory_05[6 月])</totalsRowFormula>
    </tableColumn>
    <tableColumn id="8" name="7 月" totalsRowFunction="custom" headerRowDxfId="585" dataDxfId="584" totalsRowDxfId="583">
      <totalsRowFormula>SUM(tblExpenseCategory_05[7 月])</totalsRowFormula>
    </tableColumn>
    <tableColumn id="9" name="8 月" totalsRowFunction="custom" headerRowDxfId="582" dataDxfId="581" totalsRowDxfId="580">
      <totalsRowFormula>SUM(tblExpenseCategory_05[8 月])</totalsRowFormula>
    </tableColumn>
    <tableColumn id="10" name="9 月" totalsRowFunction="custom" headerRowDxfId="579" dataDxfId="578" totalsRowDxfId="577">
      <totalsRowFormula>SUM(tblExpenseCategory_05[9 月])</totalsRowFormula>
    </tableColumn>
    <tableColumn id="11" name="10 月" totalsRowFunction="custom" headerRowDxfId="576" dataDxfId="575" totalsRowDxfId="574">
      <totalsRowFormula>SUM(tblExpenseCategory_05[10 月])</totalsRowFormula>
    </tableColumn>
    <tableColumn id="12" name="11 月" totalsRowFunction="custom" headerRowDxfId="573" dataDxfId="572" totalsRowDxfId="571">
      <totalsRowFormula>SUM(tblExpenseCategory_05[11 月])</totalsRowFormula>
    </tableColumn>
    <tableColumn id="13" name="12 月" totalsRowFunction="custom" headerRowDxfId="570" dataDxfId="569" totalsRowDxfId="568">
      <totalsRowFormula>SUM(tblExpenseCategory_05[12 月])</totalsRowFormula>
    </tableColumn>
    <tableColumn id="14" name="年" totalsRowFunction="custom" headerRowDxfId="567" dataDxfId="566" totalsRowDxfId="565">
      <calculatedColumnFormula>SUM(tblExpenseCategory_05[[#This Row],[1 月]:[12 月]])</calculatedColumnFormula>
      <totalsRowFormula>SUM(tblExpenseCategory_05[年])</totalsRowFormula>
    </tableColumn>
    <tableColumn id="15" name="平均" totalsRowFunction="custom" headerRowDxfId="564" dataDxfId="563" totalsRowDxfId="562">
      <calculatedColumnFormula>tblExpenseCategory_05[[#This Row],[年]]/12</calculatedColumnFormula>
      <totalsRowFormula>tblExpenseCategory_05[[#Totals],[年]]/12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Summary="List of health expenses by month such as Doctor/Dentist, Medicine/Drugs, etc."/>
    </ext>
  </extLst>
</table>
</file>

<file path=xl/tables/table7.xml><?xml version="1.0" encoding="utf-8"?>
<table xmlns="http://schemas.openxmlformats.org/spreadsheetml/2006/main" id="7" name="tblExpenseCategory_06" displayName="tblExpenseCategory_06" ref="B65:P68" headerRowCount="0" totalsRowCount="1" headerRowDxfId="561" dataDxfId="560" totalsRowDxfId="559">
  <tableColumns count="15">
    <tableColumn id="1" name="保险" totalsRowFunction="custom" headerRowDxfId="558" dataDxfId="557" totalsRowDxfId="556">
      <totalsRowFormula>UPPER(B64&amp;" 总额")</totalsRowFormula>
    </tableColumn>
    <tableColumn id="2" name="1 月" totalsRowFunction="custom" headerRowDxfId="555" dataDxfId="554" totalsRowDxfId="553">
      <totalsRowFormula>SUM(tblExpenseCategory_06[1 月])</totalsRowFormula>
    </tableColumn>
    <tableColumn id="3" name="2 月" totalsRowFunction="custom" headerRowDxfId="552" dataDxfId="551" totalsRowDxfId="550">
      <totalsRowFormula>SUM(tblExpenseCategory_06[2 月])</totalsRowFormula>
    </tableColumn>
    <tableColumn id="4" name="3 月" totalsRowFunction="custom" headerRowDxfId="549" dataDxfId="548" totalsRowDxfId="547">
      <totalsRowFormula>SUM(tblExpenseCategory_06[3 月])</totalsRowFormula>
    </tableColumn>
    <tableColumn id="5" name="4 月" totalsRowFunction="custom" headerRowDxfId="546" dataDxfId="545" totalsRowDxfId="544">
      <totalsRowFormula>SUM(tblExpenseCategory_06[4 月])</totalsRowFormula>
    </tableColumn>
    <tableColumn id="6" name="5 月" totalsRowFunction="custom" headerRowDxfId="543" dataDxfId="542" totalsRowDxfId="541">
      <totalsRowFormula>SUM(tblExpenseCategory_06[5 月])</totalsRowFormula>
    </tableColumn>
    <tableColumn id="7" name="6 月" totalsRowFunction="custom" headerRowDxfId="540" dataDxfId="539" totalsRowDxfId="538">
      <totalsRowFormula>SUM(tblExpenseCategory_06[6 月])</totalsRowFormula>
    </tableColumn>
    <tableColumn id="8" name="7 月" totalsRowFunction="custom" headerRowDxfId="537" dataDxfId="536" totalsRowDxfId="535">
      <totalsRowFormula>SUM(tblExpenseCategory_06[7 月])</totalsRowFormula>
    </tableColumn>
    <tableColumn id="9" name="8 月" totalsRowFunction="custom" headerRowDxfId="534" dataDxfId="533" totalsRowDxfId="532">
      <totalsRowFormula>SUM(tblExpenseCategory_06[8 月])</totalsRowFormula>
    </tableColumn>
    <tableColumn id="10" name="9 月" totalsRowFunction="custom" headerRowDxfId="531" dataDxfId="530" totalsRowDxfId="529">
      <totalsRowFormula>SUM(tblExpenseCategory_06[9 月])</totalsRowFormula>
    </tableColumn>
    <tableColumn id="11" name="10 月" totalsRowFunction="custom" headerRowDxfId="528" dataDxfId="527" totalsRowDxfId="526">
      <totalsRowFormula>SUM(tblExpenseCategory_06[10 月])</totalsRowFormula>
    </tableColumn>
    <tableColumn id="12" name="11 月" totalsRowFunction="custom" headerRowDxfId="525" dataDxfId="524" totalsRowDxfId="523">
      <totalsRowFormula>SUM(tblExpenseCategory_06[11 月])</totalsRowFormula>
    </tableColumn>
    <tableColumn id="13" name="12 月" totalsRowFunction="custom" headerRowDxfId="522" dataDxfId="521" totalsRowDxfId="520">
      <totalsRowFormula>SUM(tblExpenseCategory_06[12 月])</totalsRowFormula>
    </tableColumn>
    <tableColumn id="14" name="年" totalsRowFunction="custom" headerRowDxfId="519" dataDxfId="518" totalsRowDxfId="517">
      <calculatedColumnFormula>SUM(tblExpenseCategory_06[[#This Row],[1 月]:[12 月]])</calculatedColumnFormula>
      <totalsRowFormula>SUM(tblExpenseCategory_06[年])</totalsRowFormula>
    </tableColumn>
    <tableColumn id="15" name="平均" totalsRowFunction="custom" headerRowDxfId="516" dataDxfId="515" totalsRowDxfId="514">
      <calculatedColumnFormula>tblExpenseCategory_06[[#This Row],[年]]/12</calculatedColumnFormula>
      <totalsRowFormula>tblExpenseCategory_06[[#Totals],[年]]/12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Insurance expenses" altTextSummary="List of insurance expenses by month such as Auto, Health, Life, etc."/>
    </ext>
  </extLst>
</table>
</file>

<file path=xl/tables/table8.xml><?xml version="1.0" encoding="utf-8"?>
<table xmlns="http://schemas.openxmlformats.org/spreadsheetml/2006/main" id="8" name="tblExpenseCategory_07" displayName="tblExpenseCategory_07" ref="B72:P75" headerRowCount="0" totalsRowCount="1" headerRowDxfId="513" dataDxfId="512" totalsRowDxfId="511">
  <tableColumns count="15">
    <tableColumn id="1" name="教育" totalsRowFunction="custom" headerRowDxfId="510" dataDxfId="509" totalsRowDxfId="508">
      <totalsRowFormula>UPPER(B71&amp;" 总额")</totalsRowFormula>
    </tableColumn>
    <tableColumn id="2" name="1 月" totalsRowFunction="custom" headerRowDxfId="507" dataDxfId="506" totalsRowDxfId="505">
      <totalsRowFormula>SUM(tblExpenseCategory_07[1 月])</totalsRowFormula>
    </tableColumn>
    <tableColumn id="3" name="2 月" totalsRowFunction="custom" headerRowDxfId="504" dataDxfId="503" totalsRowDxfId="502">
      <totalsRowFormula>SUM(tblExpenseCategory_07[2 月])</totalsRowFormula>
    </tableColumn>
    <tableColumn id="4" name="3 月" totalsRowFunction="custom" headerRowDxfId="501" dataDxfId="500" totalsRowDxfId="499">
      <totalsRowFormula>SUM(tblExpenseCategory_07[3 月])</totalsRowFormula>
    </tableColumn>
    <tableColumn id="5" name="4 月" totalsRowFunction="custom" headerRowDxfId="498" dataDxfId="497" totalsRowDxfId="496">
      <totalsRowFormula>SUM(tblExpenseCategory_07[4 月])</totalsRowFormula>
    </tableColumn>
    <tableColumn id="6" name="5 月" totalsRowFunction="custom" headerRowDxfId="495" dataDxfId="494" totalsRowDxfId="493">
      <totalsRowFormula>SUM(tblExpenseCategory_07[5 月])</totalsRowFormula>
    </tableColumn>
    <tableColumn id="7" name="6 月" totalsRowFunction="custom" headerRowDxfId="492" dataDxfId="491" totalsRowDxfId="490">
      <totalsRowFormula>SUM(tblExpenseCategory_07[6 月])</totalsRowFormula>
    </tableColumn>
    <tableColumn id="8" name="7 月" totalsRowFunction="custom" headerRowDxfId="489" dataDxfId="488" totalsRowDxfId="487">
      <totalsRowFormula>SUM(tblExpenseCategory_07[7 月])</totalsRowFormula>
    </tableColumn>
    <tableColumn id="9" name="8 月" totalsRowFunction="custom" headerRowDxfId="486" dataDxfId="485" totalsRowDxfId="484">
      <totalsRowFormula>SUM(tblExpenseCategory_07[8 月])</totalsRowFormula>
    </tableColumn>
    <tableColumn id="10" name="9 月" totalsRowFunction="custom" headerRowDxfId="483" dataDxfId="482" totalsRowDxfId="481">
      <totalsRowFormula>SUM(tblExpenseCategory_07[9 月])</totalsRowFormula>
    </tableColumn>
    <tableColumn id="11" name="10 月" totalsRowFunction="custom" headerRowDxfId="480" dataDxfId="479" totalsRowDxfId="478">
      <totalsRowFormula>SUM(tblExpenseCategory_07[10 月])</totalsRowFormula>
    </tableColumn>
    <tableColumn id="12" name="11 月" totalsRowFunction="custom" headerRowDxfId="477" dataDxfId="476" totalsRowDxfId="475">
      <totalsRowFormula>SUM(tblExpenseCategory_07[11 月])</totalsRowFormula>
    </tableColumn>
    <tableColumn id="13" name="12 月" totalsRowFunction="custom" headerRowDxfId="474" dataDxfId="473" totalsRowDxfId="472">
      <totalsRowFormula>SUM(tblExpenseCategory_07[12 月])</totalsRowFormula>
    </tableColumn>
    <tableColumn id="14" name="年" totalsRowFunction="custom" headerRowDxfId="471" dataDxfId="470" totalsRowDxfId="469">
      <calculatedColumnFormula>SUM(tblExpenseCategory_07[[#This Row],[1 月]:[12 月]])</calculatedColumnFormula>
      <totalsRowFormula>SUM(tblExpenseCategory_07[年])</totalsRowFormula>
    </tableColumn>
    <tableColumn id="15" name="平均" totalsRowFunction="custom" headerRowDxfId="468" dataDxfId="467" totalsRowDxfId="466">
      <calculatedColumnFormula>tblExpenseCategory_07[[#This Row],[年]]/12</calculatedColumnFormula>
      <totalsRowFormula>tblExpenseCategory_07[[#Totals],[年]]/12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Education expenses" altTextSummary="List of education expenses such as, Tuition, Books, etc."/>
    </ext>
  </extLst>
</table>
</file>

<file path=xl/tables/table9.xml><?xml version="1.0" encoding="utf-8"?>
<table xmlns="http://schemas.openxmlformats.org/spreadsheetml/2006/main" id="9" name="tblExpenseCategory_08" displayName="tblExpenseCategory_08" ref="B79:P82" headerRowCount="0" totalsRowCount="1" headerRowDxfId="465" dataDxfId="464" totalsRowDxfId="463">
  <tableColumns count="15">
    <tableColumn id="1" name="慈善" totalsRowFunction="custom" headerRowDxfId="462" dataDxfId="461" totalsRowDxfId="460">
      <totalsRowFormula>UPPER(B78&amp;" 总额")</totalsRowFormula>
    </tableColumn>
    <tableColumn id="2" name="1 月" totalsRowFunction="custom" headerRowDxfId="459" dataDxfId="458" totalsRowDxfId="457">
      <totalsRowFormula>SUM(tblExpenseCategory_08[1 月])</totalsRowFormula>
    </tableColumn>
    <tableColumn id="3" name="2 月" totalsRowFunction="custom" headerRowDxfId="456" dataDxfId="455" totalsRowDxfId="454">
      <totalsRowFormula>SUM(tblExpenseCategory_08[2 月])</totalsRowFormula>
    </tableColumn>
    <tableColumn id="4" name="3 月" totalsRowFunction="custom" headerRowDxfId="453" dataDxfId="452" totalsRowDxfId="451">
      <totalsRowFormula>SUM(tblExpenseCategory_08[3 月])</totalsRowFormula>
    </tableColumn>
    <tableColumn id="5" name="4 月" totalsRowFunction="custom" headerRowDxfId="450" dataDxfId="449" totalsRowDxfId="448">
      <totalsRowFormula>SUM(tblExpenseCategory_08[4 月])</totalsRowFormula>
    </tableColumn>
    <tableColumn id="6" name="5 月" totalsRowFunction="custom" headerRowDxfId="447" dataDxfId="446" totalsRowDxfId="445">
      <totalsRowFormula>SUM(tblExpenseCategory_08[5 月])</totalsRowFormula>
    </tableColumn>
    <tableColumn id="7" name="6 月" totalsRowFunction="custom" headerRowDxfId="444" dataDxfId="443" totalsRowDxfId="442">
      <totalsRowFormula>SUM(tblExpenseCategory_08[6 月])</totalsRowFormula>
    </tableColumn>
    <tableColumn id="8" name="7 月" totalsRowFunction="custom" headerRowDxfId="441" dataDxfId="440" totalsRowDxfId="439">
      <totalsRowFormula>SUM(tblExpenseCategory_08[7 月])</totalsRowFormula>
    </tableColumn>
    <tableColumn id="9" name="8 月" totalsRowFunction="custom" headerRowDxfId="438" dataDxfId="437" totalsRowDxfId="436">
      <totalsRowFormula>SUM(tblExpenseCategory_08[8 月])</totalsRowFormula>
    </tableColumn>
    <tableColumn id="10" name="9 月" totalsRowFunction="custom" headerRowDxfId="435" dataDxfId="434" totalsRowDxfId="433">
      <totalsRowFormula>SUM(tblExpenseCategory_08[9 月])</totalsRowFormula>
    </tableColumn>
    <tableColumn id="11" name="10 月" totalsRowFunction="custom" headerRowDxfId="432" dataDxfId="431" totalsRowDxfId="430">
      <totalsRowFormula>SUM(tblExpenseCategory_08[10 月])</totalsRowFormula>
    </tableColumn>
    <tableColumn id="12" name="11 月" totalsRowFunction="custom" headerRowDxfId="429" dataDxfId="428" totalsRowDxfId="427">
      <totalsRowFormula>SUM(tblExpenseCategory_08[11 月])</totalsRowFormula>
    </tableColumn>
    <tableColumn id="13" name="12 月" totalsRowFunction="custom" headerRowDxfId="426" dataDxfId="425" totalsRowDxfId="424">
      <totalsRowFormula>SUM(tblExpenseCategory_08[12 月])</totalsRowFormula>
    </tableColumn>
    <tableColumn id="14" name="年" totalsRowFunction="custom" headerRowDxfId="423" dataDxfId="422" totalsRowDxfId="421">
      <calculatedColumnFormula>SUM(tblExpenseCategory_08[[#This Row],[1 月]:[12 月]])</calculatedColumnFormula>
      <totalsRowFormula>SUM(tblExpenseCategory_08[年])</totalsRowFormula>
    </tableColumn>
    <tableColumn id="15" name="平均" totalsRowFunction="custom" headerRowDxfId="420" dataDxfId="419" totalsRowDxfId="418">
      <calculatedColumnFormula>tblExpenseCategory_08[[#This Row],[年]]/12</calculatedColumnFormula>
      <totalsRowFormula>tblExpenseCategory_08[[#Totals],[年]]/12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Charity expenses" altTextSummary="List of charity expenses by month such as, Gifts, Charitable Donations, etc. "/>
    </ext>
  </extLst>
</table>
</file>

<file path=xl/tables/table10.xml><?xml version="1.0" encoding="utf-8"?>
<table xmlns="http://schemas.openxmlformats.org/spreadsheetml/2006/main" id="10" name="tblExpenseCategory_09" displayName="tblExpenseCategory_09" ref="B86:P89" headerRowCount="0" totalsRowCount="1" headerRowDxfId="417" dataDxfId="416" totalsRowDxfId="415">
  <tableColumns count="15">
    <tableColumn id="1" name="储蓄" totalsRowFunction="custom" headerRowDxfId="414" dataDxfId="413" totalsRowDxfId="412">
      <totalsRowFormula>UPPER(B85&amp;" 总额")</totalsRowFormula>
    </tableColumn>
    <tableColumn id="2" name="1 月" totalsRowFunction="custom" headerRowDxfId="411" dataDxfId="410" totalsRowDxfId="409">
      <totalsRowFormula>SUM(tblExpenseCategory_09[1 月])</totalsRowFormula>
    </tableColumn>
    <tableColumn id="3" name="2 月" totalsRowFunction="custom" headerRowDxfId="408" dataDxfId="407" totalsRowDxfId="406">
      <totalsRowFormula>SUM(tblExpenseCategory_09[2 月])</totalsRowFormula>
    </tableColumn>
    <tableColumn id="4" name="3 月" totalsRowFunction="custom" headerRowDxfId="405" dataDxfId="404" totalsRowDxfId="403">
      <totalsRowFormula>SUM(tblExpenseCategory_09[3 月])</totalsRowFormula>
    </tableColumn>
    <tableColumn id="5" name="4 月" totalsRowFunction="custom" headerRowDxfId="402" dataDxfId="401" totalsRowDxfId="400">
      <totalsRowFormula>SUM(tblExpenseCategory_09[4 月])</totalsRowFormula>
    </tableColumn>
    <tableColumn id="6" name="5 月" totalsRowFunction="custom" headerRowDxfId="399" dataDxfId="398" totalsRowDxfId="397">
      <totalsRowFormula>SUM(tblExpenseCategory_09[5 月])</totalsRowFormula>
    </tableColumn>
    <tableColumn id="7" name="6 月" totalsRowFunction="custom" headerRowDxfId="396" dataDxfId="395" totalsRowDxfId="394">
      <totalsRowFormula>SUM(tblExpenseCategory_09[6 月])</totalsRowFormula>
    </tableColumn>
    <tableColumn id="8" name="7 月" totalsRowFunction="custom" headerRowDxfId="393" dataDxfId="392" totalsRowDxfId="391">
      <totalsRowFormula>SUM(tblExpenseCategory_09[7 月])</totalsRowFormula>
    </tableColumn>
    <tableColumn id="9" name="8 月" totalsRowFunction="custom" headerRowDxfId="390" dataDxfId="389" totalsRowDxfId="388">
      <totalsRowFormula>SUM(tblExpenseCategory_09[8 月])</totalsRowFormula>
    </tableColumn>
    <tableColumn id="10" name="9 月" totalsRowFunction="custom" headerRowDxfId="387" dataDxfId="386" totalsRowDxfId="385">
      <totalsRowFormula>SUM(tblExpenseCategory_09[9 月])</totalsRowFormula>
    </tableColumn>
    <tableColumn id="11" name="10 月" totalsRowFunction="custom" headerRowDxfId="384" dataDxfId="383" totalsRowDxfId="382">
      <totalsRowFormula>SUM(tblExpenseCategory_09[10 月])</totalsRowFormula>
    </tableColumn>
    <tableColumn id="12" name="11 月" totalsRowFunction="custom" headerRowDxfId="381" dataDxfId="380" totalsRowDxfId="379">
      <totalsRowFormula>SUM(tblExpenseCategory_09[11 月])</totalsRowFormula>
    </tableColumn>
    <tableColumn id="13" name="12 月" totalsRowFunction="custom" headerRowDxfId="378" dataDxfId="377" totalsRowDxfId="376">
      <totalsRowFormula>SUM(tblExpenseCategory_09[12 月])</totalsRowFormula>
    </tableColumn>
    <tableColumn id="14" name="年" totalsRowFunction="custom" headerRowDxfId="375" dataDxfId="374" totalsRowDxfId="373">
      <calculatedColumnFormula>SUM(tblExpenseCategory_09[[#This Row],[1 月]:[12 月]])</calculatedColumnFormula>
      <totalsRowFormula>SUM(tblExpenseCategory_09[年])</totalsRowFormula>
    </tableColumn>
    <tableColumn id="15" name="平均" totalsRowFunction="custom" headerRowDxfId="372" dataDxfId="371" totalsRowDxfId="370">
      <calculatedColumnFormula>tblExpenseCategory_09[[#This Row],[年]]/12</calculatedColumnFormula>
      <totalsRowFormula>tblExpenseCategory_09[[#Totals],[年]]/12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Savings" altTextSummary="List of savings by month such as, Emergency Fund, Retirement, etc."/>
    </ext>
  </extLst>
</table>
</file>

<file path=xl/tables/table11.xml><?xml version="1.0" encoding="utf-8"?>
<table xmlns="http://schemas.openxmlformats.org/spreadsheetml/2006/main" id="11" name="tblExpenseCategory_10" displayName="tblExpenseCategory_10" ref="B93:P96" headerRowCount="0" totalsRowCount="1" headerRowDxfId="369" dataDxfId="368" totalsRowDxfId="367">
  <tableColumns count="15">
    <tableColumn id="1" name="债务" totalsRowFunction="custom" headerRowDxfId="366" dataDxfId="365" totalsRowDxfId="364">
      <totalsRowFormula>UPPER(B92&amp;" 总额")</totalsRowFormula>
    </tableColumn>
    <tableColumn id="2" name="1 月" totalsRowFunction="custom" headerRowDxfId="363" dataDxfId="362" totalsRowDxfId="361">
      <totalsRowFormula>SUM(tblExpenseCategory_10[1 月])</totalsRowFormula>
    </tableColumn>
    <tableColumn id="3" name="2 月" totalsRowFunction="custom" headerRowDxfId="360" dataDxfId="359" totalsRowDxfId="358">
      <totalsRowFormula>SUM(tblExpenseCategory_10[2 月])</totalsRowFormula>
    </tableColumn>
    <tableColumn id="4" name="3 月" totalsRowFunction="custom" headerRowDxfId="357" dataDxfId="356" totalsRowDxfId="355">
      <totalsRowFormula>SUM(tblExpenseCategory_10[3 月])</totalsRowFormula>
    </tableColumn>
    <tableColumn id="5" name="4 月" totalsRowFunction="custom" headerRowDxfId="354" dataDxfId="353" totalsRowDxfId="352">
      <totalsRowFormula>SUM(tblExpenseCategory_10[4 月])</totalsRowFormula>
    </tableColumn>
    <tableColumn id="6" name="5 月" totalsRowFunction="custom" headerRowDxfId="351" dataDxfId="350" totalsRowDxfId="349">
      <totalsRowFormula>SUM(tblExpenseCategory_10[5 月])</totalsRowFormula>
    </tableColumn>
    <tableColumn id="7" name="6 月" totalsRowFunction="custom" headerRowDxfId="348" dataDxfId="347" totalsRowDxfId="346">
      <totalsRowFormula>SUM(tblExpenseCategory_10[6 月])</totalsRowFormula>
    </tableColumn>
    <tableColumn id="8" name="7 月" totalsRowFunction="custom" headerRowDxfId="345" dataDxfId="344" totalsRowDxfId="343">
      <totalsRowFormula>SUM(tblExpenseCategory_10[7 月])</totalsRowFormula>
    </tableColumn>
    <tableColumn id="9" name="8 月" totalsRowFunction="custom" headerRowDxfId="342" dataDxfId="341" totalsRowDxfId="340">
      <totalsRowFormula>SUM(tblExpenseCategory_10[8 月])</totalsRowFormula>
    </tableColumn>
    <tableColumn id="10" name="9 月" totalsRowFunction="custom" headerRowDxfId="339" dataDxfId="338" totalsRowDxfId="337">
      <totalsRowFormula>SUM(tblExpenseCategory_10[9 月])</totalsRowFormula>
    </tableColumn>
    <tableColumn id="11" name="10 月" totalsRowFunction="custom" headerRowDxfId="336" dataDxfId="335" totalsRowDxfId="334">
      <totalsRowFormula>SUM(tblExpenseCategory_10[10 月])</totalsRowFormula>
    </tableColumn>
    <tableColumn id="12" name="11 月" totalsRowFunction="custom" headerRowDxfId="333" dataDxfId="332" totalsRowDxfId="331">
      <totalsRowFormula>SUM(tblExpenseCategory_10[11 月])</totalsRowFormula>
    </tableColumn>
    <tableColumn id="13" name="12 月" totalsRowFunction="custom" headerRowDxfId="330" dataDxfId="329" totalsRowDxfId="328">
      <totalsRowFormula>SUM(tblExpenseCategory_10[12 月])</totalsRowFormula>
    </tableColumn>
    <tableColumn id="14" name="年" totalsRowFunction="custom" headerRowDxfId="327" dataDxfId="326" totalsRowDxfId="325">
      <calculatedColumnFormula>SUM(tblExpenseCategory_10[[#This Row],[1 月]:[12 月]])</calculatedColumnFormula>
      <totalsRowFormula>SUM(tblExpenseCategory_10[年])</totalsRowFormula>
    </tableColumn>
    <tableColumn id="15" name="平均" totalsRowFunction="custom" headerRowDxfId="324" dataDxfId="323" totalsRowDxfId="322">
      <calculatedColumnFormula>tblExpenseCategory_10[[#This Row],[年]]/12</calculatedColumnFormula>
      <totalsRowFormula>tblExpenseCategory_10[[#Totals],[年]]/12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Obligation expenses" altTextSummary="List obligation expenses by month such as, Credit Card #1, Federal Taxes, Student Loans, etc."/>
    </ext>
  </extLst>
</table>
</file>

<file path=xl/tables/table12.xml><?xml version="1.0" encoding="utf-8"?>
<table xmlns="http://schemas.openxmlformats.org/spreadsheetml/2006/main" id="12" name="tblExpenseCategory_11" displayName="tblExpenseCategory_11" ref="B100:P103" headerRowCount="0" totalsRowCount="1" headerRowDxfId="321" dataDxfId="320" totalsRowDxfId="319">
  <tableColumns count="15">
    <tableColumn id="1" name=" " totalsRowFunction="custom" headerRowDxfId="318" dataDxfId="317" totalsRowDxfId="316">
      <totalsRowFormula>UPPER(B99&amp;" 总额")</totalsRowFormula>
    </tableColumn>
    <tableColumn id="2" name="1 月" totalsRowFunction="custom" headerRowDxfId="315" dataDxfId="314" totalsRowDxfId="313">
      <totalsRowFormula>SUM(tblExpenseCategory_11[1 月])</totalsRowFormula>
    </tableColumn>
    <tableColumn id="3" name="2 月" totalsRowFunction="custom" headerRowDxfId="312" dataDxfId="311" totalsRowDxfId="310">
      <totalsRowFormula>SUM(tblExpenseCategory_11[2 月])</totalsRowFormula>
    </tableColumn>
    <tableColumn id="4" name="3 月" totalsRowFunction="custom" headerRowDxfId="309" dataDxfId="308" totalsRowDxfId="307">
      <totalsRowFormula>SUM(tblExpenseCategory_11[3 月])</totalsRowFormula>
    </tableColumn>
    <tableColumn id="5" name="4 月" totalsRowFunction="custom" headerRowDxfId="306" dataDxfId="305" totalsRowDxfId="304">
      <totalsRowFormula>SUM(tblExpenseCategory_11[4 月])</totalsRowFormula>
    </tableColumn>
    <tableColumn id="6" name="5 月" totalsRowFunction="custom" headerRowDxfId="303" dataDxfId="302" totalsRowDxfId="301">
      <totalsRowFormula>SUM(tblExpenseCategory_11[5 月])</totalsRowFormula>
    </tableColumn>
    <tableColumn id="7" name="6 月" totalsRowFunction="custom" headerRowDxfId="300" dataDxfId="299" totalsRowDxfId="298">
      <totalsRowFormula>SUM(tblExpenseCategory_11[6 月])</totalsRowFormula>
    </tableColumn>
    <tableColumn id="8" name="7 月" totalsRowFunction="custom" headerRowDxfId="297" dataDxfId="296" totalsRowDxfId="295">
      <totalsRowFormula>SUM(tblExpenseCategory_11[7 月])</totalsRowFormula>
    </tableColumn>
    <tableColumn id="9" name="8 月" totalsRowFunction="custom" headerRowDxfId="294" dataDxfId="293" totalsRowDxfId="292">
      <totalsRowFormula>SUM(tblExpenseCategory_11[8 月])</totalsRowFormula>
    </tableColumn>
    <tableColumn id="10" name="9 月" totalsRowFunction="custom" headerRowDxfId="291" dataDxfId="290" totalsRowDxfId="289">
      <totalsRowFormula>SUM(tblExpenseCategory_11[9 月])</totalsRowFormula>
    </tableColumn>
    <tableColumn id="11" name="10 月" totalsRowFunction="custom" headerRowDxfId="288" dataDxfId="287" totalsRowDxfId="286">
      <totalsRowFormula>SUM(tblExpenseCategory_11[10 月])</totalsRowFormula>
    </tableColumn>
    <tableColumn id="12" name="11 月" totalsRowFunction="custom" headerRowDxfId="285" dataDxfId="284" totalsRowDxfId="283">
      <totalsRowFormula>SUM(tblExpenseCategory_11[11 月])</totalsRowFormula>
    </tableColumn>
    <tableColumn id="13" name="12 月" totalsRowFunction="custom" headerRowDxfId="282" dataDxfId="281" totalsRowDxfId="280">
      <totalsRowFormula>SUM(tblExpenseCategory_11[12 月])</totalsRowFormula>
    </tableColumn>
    <tableColumn id="14" name="年" totalsRowFunction="custom" headerRowDxfId="279" dataDxfId="278" totalsRowDxfId="277">
      <calculatedColumnFormula>SUM(tblExpenseCategory_11[[#This Row],[1 月]:[12 月]])</calculatedColumnFormula>
      <totalsRowFormula>SUM(tblExpenseCategory_11[年])</totalsRowFormula>
    </tableColumn>
    <tableColumn id="15" name="平均" totalsRowFunction="custom" headerRowDxfId="276" dataDxfId="275" totalsRowDxfId="274">
      <calculatedColumnFormula>tblExpenseCategory_11[[#This Row],[年]]/12</calculatedColumnFormula>
      <totalsRowFormula>tblExpenseCategory_11[[#Totals],[年]]/12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Empty Expense table" altTextSummary="Expense table you can customize for your needs for monthly expenses that do not fit in the expense categories provided."/>
    </ext>
  </extLst>
</table>
</file>

<file path=xl/tables/table13.xml><?xml version="1.0" encoding="utf-8"?>
<table xmlns="http://schemas.openxmlformats.org/spreadsheetml/2006/main" id="13" name="tblExpenseCategory_12" displayName="tblExpenseCategory_12" ref="B107:P110" headerRowCount="0" totalsRowCount="1" headerRowDxfId="273" dataDxfId="272" totalsRowDxfId="271">
  <tableColumns count="15">
    <tableColumn id="1" name=" " totalsRowFunction="custom" headerRowDxfId="270" dataDxfId="269" totalsRowDxfId="268">
      <totalsRowFormula>UPPER(B106&amp;" 总额")</totalsRowFormula>
    </tableColumn>
    <tableColumn id="2" name="1 月" totalsRowFunction="custom" headerRowDxfId="267" dataDxfId="266" totalsRowDxfId="265">
      <totalsRowFormula>SUM(tblExpenseCategory_12[1 月])</totalsRowFormula>
    </tableColumn>
    <tableColumn id="3" name="2 月" totalsRowFunction="custom" headerRowDxfId="264" dataDxfId="263" totalsRowDxfId="262">
      <totalsRowFormula>SUM(tblExpenseCategory_12[2 月])</totalsRowFormula>
    </tableColumn>
    <tableColumn id="4" name="3 月" totalsRowFunction="custom" headerRowDxfId="261" dataDxfId="260" totalsRowDxfId="259">
      <totalsRowFormula>SUM(tblExpenseCategory_12[3 月])</totalsRowFormula>
    </tableColumn>
    <tableColumn id="5" name="4 月" totalsRowFunction="custom" headerRowDxfId="258" dataDxfId="257" totalsRowDxfId="256">
      <totalsRowFormula>SUM(tblExpenseCategory_12[4 月])</totalsRowFormula>
    </tableColumn>
    <tableColumn id="6" name="5 月" totalsRowFunction="custom" headerRowDxfId="255" dataDxfId="254" totalsRowDxfId="253">
      <totalsRowFormula>SUM(tblExpenseCategory_12[5 月])</totalsRowFormula>
    </tableColumn>
    <tableColumn id="7" name="6 月" totalsRowFunction="custom" headerRowDxfId="252" dataDxfId="251" totalsRowDxfId="250">
      <totalsRowFormula>SUM(tblExpenseCategory_12[6 月])</totalsRowFormula>
    </tableColumn>
    <tableColumn id="8" name="7 月" totalsRowFunction="custom" headerRowDxfId="249" dataDxfId="248" totalsRowDxfId="247">
      <totalsRowFormula>SUM(tblExpenseCategory_12[7 月])</totalsRowFormula>
    </tableColumn>
    <tableColumn id="9" name="8 月" totalsRowFunction="custom" headerRowDxfId="246" dataDxfId="245" totalsRowDxfId="244">
      <totalsRowFormula>SUM(tblExpenseCategory_12[8 月])</totalsRowFormula>
    </tableColumn>
    <tableColumn id="10" name="9 月" totalsRowFunction="custom" headerRowDxfId="243" dataDxfId="242" totalsRowDxfId="241">
      <totalsRowFormula>SUM(tblExpenseCategory_12[9 月])</totalsRowFormula>
    </tableColumn>
    <tableColumn id="11" name="10 月" totalsRowFunction="custom" headerRowDxfId="240" dataDxfId="239" totalsRowDxfId="238">
      <totalsRowFormula>SUM(tblExpenseCategory_12[10 月])</totalsRowFormula>
    </tableColumn>
    <tableColumn id="12" name="11 月" totalsRowFunction="custom" headerRowDxfId="237" dataDxfId="236" totalsRowDxfId="235">
      <totalsRowFormula>SUM(tblExpenseCategory_12[11 月])</totalsRowFormula>
    </tableColumn>
    <tableColumn id="13" name="12 月" totalsRowFunction="custom" headerRowDxfId="234" dataDxfId="233" totalsRowDxfId="232">
      <totalsRowFormula>SUM(tblExpenseCategory_12[12 月])</totalsRowFormula>
    </tableColumn>
    <tableColumn id="14" name="年" totalsRowFunction="custom" headerRowDxfId="231" dataDxfId="230" totalsRowDxfId="229">
      <calculatedColumnFormula>SUM(tblExpenseCategory_12[[#This Row],[1 月]:[12 月]])</calculatedColumnFormula>
      <totalsRowFormula>SUM(tblExpenseCategory_12[年])</totalsRowFormula>
    </tableColumn>
    <tableColumn id="15" name="平均" totalsRowFunction="custom" headerRowDxfId="228" dataDxfId="227" totalsRowDxfId="226">
      <calculatedColumnFormula>tblExpenseCategory_12[[#This Row],[年]]/12</calculatedColumnFormula>
      <totalsRowFormula>tblExpenseCategory_12[[#Totals],[年]]/12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Empty Expense table" altTextSummary="Expense table you can customize for your needs for monthly expenses that do not fit in the expense categories provided."/>
    </ext>
  </extLst>
</table>
</file>

<file path=xl/tables/table14.xml><?xml version="1.0" encoding="utf-8"?>
<table xmlns="http://schemas.openxmlformats.org/spreadsheetml/2006/main" id="14" name="tblExpenseCategory_13" displayName="tblExpenseCategory_13" ref="B114:P117" headerRowCount="0" totalsRowCount="1" headerRowDxfId="225" dataDxfId="224" totalsRowDxfId="223">
  <tableColumns count="15">
    <tableColumn id="1" name=" " totalsRowFunction="custom" headerRowDxfId="222" dataDxfId="221" totalsRowDxfId="220">
      <totalsRowFormula>UPPER(B113&amp;" 总额")</totalsRowFormula>
    </tableColumn>
    <tableColumn id="2" name="1 月" totalsRowFunction="custom" headerRowDxfId="219" dataDxfId="218" totalsRowDxfId="217">
      <totalsRowFormula>SUM(tblExpenseCategory_13[1 月])</totalsRowFormula>
    </tableColumn>
    <tableColumn id="3" name="2 月" totalsRowFunction="custom" headerRowDxfId="216" dataDxfId="215" totalsRowDxfId="214">
      <totalsRowFormula>SUM(tblExpenseCategory_13[2 月])</totalsRowFormula>
    </tableColumn>
    <tableColumn id="4" name="3 月" totalsRowFunction="custom" headerRowDxfId="213" dataDxfId="212" totalsRowDxfId="211">
      <totalsRowFormula>SUM(tblExpenseCategory_13[3 月])</totalsRowFormula>
    </tableColumn>
    <tableColumn id="5" name="4 月" totalsRowFunction="custom" headerRowDxfId="210" dataDxfId="209" totalsRowDxfId="208">
      <totalsRowFormula>SUM(tblExpenseCategory_13[4 月])</totalsRowFormula>
    </tableColumn>
    <tableColumn id="6" name="5 月" totalsRowFunction="custom" headerRowDxfId="207" dataDxfId="206" totalsRowDxfId="205">
      <totalsRowFormula>SUM(tblExpenseCategory_13[5 月])</totalsRowFormula>
    </tableColumn>
    <tableColumn id="7" name="6 月" totalsRowFunction="custom" headerRowDxfId="204" dataDxfId="203" totalsRowDxfId="202">
      <totalsRowFormula>SUM(tblExpenseCategory_13[6 月])</totalsRowFormula>
    </tableColumn>
    <tableColumn id="8" name="7 月" totalsRowFunction="custom" headerRowDxfId="201" dataDxfId="200" totalsRowDxfId="199">
      <totalsRowFormula>SUM(tblExpenseCategory_13[7 月])</totalsRowFormula>
    </tableColumn>
    <tableColumn id="9" name="8 月" totalsRowFunction="custom" headerRowDxfId="198" dataDxfId="197" totalsRowDxfId="196">
      <totalsRowFormula>SUM(tblExpenseCategory_13[8 月])</totalsRowFormula>
    </tableColumn>
    <tableColumn id="10" name="9 月" totalsRowFunction="custom" headerRowDxfId="195" dataDxfId="194" totalsRowDxfId="193">
      <totalsRowFormula>SUM(tblExpenseCategory_13[9 月])</totalsRowFormula>
    </tableColumn>
    <tableColumn id="11" name="10 月" totalsRowFunction="custom" headerRowDxfId="192" dataDxfId="191" totalsRowDxfId="190">
      <totalsRowFormula>SUM(tblExpenseCategory_13[10 月])</totalsRowFormula>
    </tableColumn>
    <tableColumn id="12" name="11 月" totalsRowFunction="custom" headerRowDxfId="189" dataDxfId="188" totalsRowDxfId="187">
      <totalsRowFormula>SUM(tblExpenseCategory_13[11 月])</totalsRowFormula>
    </tableColumn>
    <tableColumn id="13" name="12 月" totalsRowFunction="custom" headerRowDxfId="186" dataDxfId="185" totalsRowDxfId="184">
      <totalsRowFormula>SUM(tblExpenseCategory_13[12 月])</totalsRowFormula>
    </tableColumn>
    <tableColumn id="14" name="年" totalsRowFunction="custom" headerRowDxfId="183" dataDxfId="182" totalsRowDxfId="181">
      <calculatedColumnFormula>SUM(tblExpenseCategory_13[[#This Row],[1 月]:[12 月]])</calculatedColumnFormula>
      <totalsRowFormula>SUM(tblExpenseCategory_13[年])</totalsRowFormula>
    </tableColumn>
    <tableColumn id="15" name="平均" totalsRowFunction="custom" headerRowDxfId="180" dataDxfId="179" totalsRowDxfId="178">
      <calculatedColumnFormula>tblExpenseCategory_13[[#This Row],[年]]/12</calculatedColumnFormula>
      <totalsRowFormula>tblExpenseCategory_13[[#Totals],[年]]/12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Empty Expense table" altTextSummary="Expense table you can customize for your needs for monthly expenses that do not fit in the expense categories provided."/>
    </ext>
  </extLst>
</table>
</file>

<file path=xl/tables/table15.xml><?xml version="1.0" encoding="utf-8"?>
<table xmlns="http://schemas.openxmlformats.org/spreadsheetml/2006/main" id="15" name="tblExpenseCategory_14" displayName="tblExpenseCategory_14" ref="B121:P124" headerRowCount="0" totalsRowCount="1" headerRowDxfId="177" dataDxfId="176" totalsRowDxfId="175">
  <tableColumns count="15">
    <tableColumn id="1" name=" " totalsRowFunction="custom" headerRowDxfId="174" dataDxfId="173" totalsRowDxfId="172">
      <totalsRowFormula>UPPER(B120&amp;" 总额")</totalsRowFormula>
    </tableColumn>
    <tableColumn id="2" name="1 月" totalsRowFunction="custom" headerRowDxfId="171" dataDxfId="170" totalsRowDxfId="169">
      <totalsRowFormula>SUM(tblExpenseCategory_14[1 月])</totalsRowFormula>
    </tableColumn>
    <tableColumn id="3" name="2 月" totalsRowFunction="custom" headerRowDxfId="168" dataDxfId="167" totalsRowDxfId="166">
      <totalsRowFormula>SUM(tblExpenseCategory_14[2 月])</totalsRowFormula>
    </tableColumn>
    <tableColumn id="4" name="3 月" totalsRowFunction="custom" headerRowDxfId="165" dataDxfId="164" totalsRowDxfId="163">
      <totalsRowFormula>SUM(tblExpenseCategory_14[3 月])</totalsRowFormula>
    </tableColumn>
    <tableColumn id="5" name="4 月" totalsRowFunction="custom" headerRowDxfId="162" dataDxfId="161" totalsRowDxfId="160">
      <totalsRowFormula>SUM(tblExpenseCategory_14[4 月])</totalsRowFormula>
    </tableColumn>
    <tableColumn id="6" name="5 月" totalsRowFunction="custom" headerRowDxfId="159" dataDxfId="158" totalsRowDxfId="157">
      <totalsRowFormula>SUM(tblExpenseCategory_14[5 月])</totalsRowFormula>
    </tableColumn>
    <tableColumn id="7" name="6 月" totalsRowFunction="custom" headerRowDxfId="156" dataDxfId="155" totalsRowDxfId="154">
      <totalsRowFormula>SUM(tblExpenseCategory_14[6 月])</totalsRowFormula>
    </tableColumn>
    <tableColumn id="8" name="7 月" totalsRowFunction="custom" headerRowDxfId="153" dataDxfId="152" totalsRowDxfId="151">
      <totalsRowFormula>SUM(tblExpenseCategory_14[7 月])</totalsRowFormula>
    </tableColumn>
    <tableColumn id="9" name="8 月" totalsRowFunction="custom" headerRowDxfId="150" dataDxfId="149" totalsRowDxfId="148">
      <totalsRowFormula>SUM(tblExpenseCategory_14[8 月])</totalsRowFormula>
    </tableColumn>
    <tableColumn id="10" name="9 月" totalsRowFunction="custom" headerRowDxfId="147" dataDxfId="146" totalsRowDxfId="145">
      <totalsRowFormula>SUM(tblExpenseCategory_14[9 月])</totalsRowFormula>
    </tableColumn>
    <tableColumn id="11" name="10 月" totalsRowFunction="custom" headerRowDxfId="144" dataDxfId="143" totalsRowDxfId="142">
      <totalsRowFormula>SUM(tblExpenseCategory_14[10 月])</totalsRowFormula>
    </tableColumn>
    <tableColumn id="12" name="11 月" totalsRowFunction="custom" headerRowDxfId="141" dataDxfId="140" totalsRowDxfId="139">
      <totalsRowFormula>SUM(tblExpenseCategory_14[11 月])</totalsRowFormula>
    </tableColumn>
    <tableColumn id="13" name="12 月" totalsRowFunction="custom" headerRowDxfId="138" dataDxfId="137" totalsRowDxfId="136">
      <totalsRowFormula>SUM(tblExpenseCategory_14[12 月])</totalsRowFormula>
    </tableColumn>
    <tableColumn id="14" name="年" totalsRowFunction="custom" headerRowDxfId="135" dataDxfId="134" totalsRowDxfId="133">
      <calculatedColumnFormula>SUM(tblExpenseCategory_14[[#This Row],[1 月]:[12 月]])</calculatedColumnFormula>
      <totalsRowFormula>SUM(tblExpenseCategory_14[年])</totalsRowFormula>
    </tableColumn>
    <tableColumn id="15" name="平均" totalsRowFunction="custom" headerRowDxfId="132" dataDxfId="131" totalsRowDxfId="130">
      <calculatedColumnFormula>tblExpenseCategory_14[[#This Row],[年]]/12</calculatedColumnFormula>
      <totalsRowFormula>tblExpenseCategory_14[[#Totals],[年]]/12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Empty Expense table" altTextSummary="Expense table you can customize for your needs for monthly expenses that do not fit in the expense categories provided."/>
    </ext>
  </extLst>
</table>
</file>

<file path=xl/tables/table16.xml><?xml version="1.0" encoding="utf-8"?>
<table xmlns="http://schemas.openxmlformats.org/spreadsheetml/2006/main" id="35" name="tblCashFlow" displayName="tblCashFlow" ref="B6:P9" headerRowCount="0" totalsRowShown="0" headerRowDxfId="129" dataDxfId="128">
  <tableColumns count="15">
    <tableColumn id="1" name="Income" dataDxfId="127"/>
    <tableColumn id="2" name="Jan" headerRowDxfId="126" dataDxfId="125"/>
    <tableColumn id="3" name="Feb" headerRowDxfId="124" dataDxfId="123"/>
    <tableColumn id="4" name="Mar" headerRowDxfId="122" dataDxfId="121"/>
    <tableColumn id="5" name="Apr" headerRowDxfId="120" dataDxfId="119"/>
    <tableColumn id="6" name="May" headerRowDxfId="118" dataDxfId="117"/>
    <tableColumn id="7" name="Jun" headerRowDxfId="116" dataDxfId="115"/>
    <tableColumn id="8" name="Jul" headerRowDxfId="114" dataDxfId="113"/>
    <tableColumn id="9" name="Aug" headerRowDxfId="112" dataDxfId="111"/>
    <tableColumn id="10" name="Sep" headerRowDxfId="110" dataDxfId="109"/>
    <tableColumn id="11" name="Oct" headerRowDxfId="108" dataDxfId="107"/>
    <tableColumn id="12" name="Nov" headerRowDxfId="106" dataDxfId="105"/>
    <tableColumn id="13" name="Dec" headerRowDxfId="104" dataDxfId="103"/>
    <tableColumn id="14" name="Year" headerRowDxfId="102" dataDxfId="101"/>
    <tableColumn id="15" name="Avg" headerRowDxfId="100" dataDxfId="99"/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Cash Flow" altTextSummary="List of monthly Total Income, Total Expenses, and Net Income along with monthly Total Cash Flow."/>
    </ext>
  </extLst>
</table>
</file>

<file path=xl/tables/table17.xml><?xml version="1.0" encoding="utf-8"?>
<table xmlns="http://schemas.openxmlformats.org/spreadsheetml/2006/main" id="16" name="tblExpenseCategory_15" displayName="tblExpenseCategory_15" ref="B128:P131" headerRowCount="0" totalsRowCount="1" headerRowDxfId="98" dataDxfId="97" totalsRowDxfId="96">
  <tableColumns count="15">
    <tableColumn id="1" name=" " totalsRowFunction="custom" headerRowDxfId="95" dataDxfId="94" totalsRowDxfId="93">
      <totalsRowFormula>UPPER(B127&amp;" 总额")</totalsRowFormula>
    </tableColumn>
    <tableColumn id="2" name="1 月" totalsRowFunction="custom" headerRowDxfId="92" dataDxfId="91" totalsRowDxfId="90">
      <totalsRowFormula>SUM(tblExpenseCategory_15[1 月])</totalsRowFormula>
    </tableColumn>
    <tableColumn id="3" name="2 月" totalsRowFunction="custom" headerRowDxfId="89" dataDxfId="88" totalsRowDxfId="87">
      <totalsRowFormula>SUM(tblExpenseCategory_15[2 月])</totalsRowFormula>
    </tableColumn>
    <tableColumn id="4" name="3 月" totalsRowFunction="custom" headerRowDxfId="86" dataDxfId="85" totalsRowDxfId="84">
      <totalsRowFormula>SUM(tblExpenseCategory_15[3 月])</totalsRowFormula>
    </tableColumn>
    <tableColumn id="5" name="4 月" totalsRowFunction="custom" headerRowDxfId="83" dataDxfId="82" totalsRowDxfId="81">
      <totalsRowFormula>SUM(tblExpenseCategory_15[4 月])</totalsRowFormula>
    </tableColumn>
    <tableColumn id="6" name="5 月" totalsRowFunction="custom" headerRowDxfId="80" dataDxfId="79" totalsRowDxfId="78">
      <totalsRowFormula>SUM(tblExpenseCategory_15[5 月])</totalsRowFormula>
    </tableColumn>
    <tableColumn id="7" name="6 月" totalsRowFunction="custom" headerRowDxfId="77" dataDxfId="76" totalsRowDxfId="75">
      <totalsRowFormula>SUM(tblExpenseCategory_15[6 月])</totalsRowFormula>
    </tableColumn>
    <tableColumn id="8" name="7 月" totalsRowFunction="custom" headerRowDxfId="74" dataDxfId="73" totalsRowDxfId="72">
      <totalsRowFormula>SUM(tblExpenseCategory_15[7 月])</totalsRowFormula>
    </tableColumn>
    <tableColumn id="9" name="8 月" totalsRowFunction="custom" headerRowDxfId="71" dataDxfId="70" totalsRowDxfId="69">
      <totalsRowFormula>SUM(tblExpenseCategory_15[8 月])</totalsRowFormula>
    </tableColumn>
    <tableColumn id="10" name="9 月" totalsRowFunction="custom" headerRowDxfId="68" dataDxfId="67" totalsRowDxfId="66">
      <totalsRowFormula>SUM(tblExpenseCategory_15[9 月])</totalsRowFormula>
    </tableColumn>
    <tableColumn id="11" name="10 月" totalsRowFunction="custom" headerRowDxfId="65" dataDxfId="64" totalsRowDxfId="63">
      <totalsRowFormula>SUM(tblExpenseCategory_15[10 月])</totalsRowFormula>
    </tableColumn>
    <tableColumn id="12" name="11 月" totalsRowFunction="custom" headerRowDxfId="62" dataDxfId="61" totalsRowDxfId="60">
      <totalsRowFormula>SUM(tblExpenseCategory_15[11 月])</totalsRowFormula>
    </tableColumn>
    <tableColumn id="13" name="12 月" totalsRowFunction="custom" headerRowDxfId="59" dataDxfId="58" totalsRowDxfId="57">
      <totalsRowFormula>SUM(tblExpenseCategory_15[12 月])</totalsRowFormula>
    </tableColumn>
    <tableColumn id="14" name="年" totalsRowFunction="custom" headerRowDxfId="56" dataDxfId="55" totalsRowDxfId="54">
      <calculatedColumnFormula>SUM(tblExpenseCategory_15[[#This Row],[1 月]:[12 月]])</calculatedColumnFormula>
      <totalsRowFormula>SUM(tblExpenseCategory_15[年])</totalsRowFormula>
    </tableColumn>
    <tableColumn id="15" name="平均" totalsRowFunction="custom" headerRowDxfId="53" dataDxfId="52" totalsRowDxfId="51">
      <calculatedColumnFormula>tblExpenseCategory_15[[#This Row],[年]]/12</calculatedColumnFormula>
      <totalsRowFormula>tblExpenseCategory_15[[#Totals],[年]]/12</totalsRowFormula>
    </tableColumn>
  </tableColumns>
  <tableStyleInfo name="Budget Tables" showFirstColumn="1" showLastColumn="0" showRowStripes="1" showColumnStripes="0"/>
  <extLst>
    <ext xmlns:x14="http://schemas.microsoft.com/office/spreadsheetml/2009/9/main" uri="{504A1905-F514-4f6f-8877-14C23A59335A}">
      <x14:table altText="Empty Expense table" altTextSummary="Expense table you can customize for your needs for monthly expenses that do not fit in the expense categories provided."/>
    </ext>
  </extLst>
</table>
</file>

<file path=xl/tables/table18.xml><?xml version="1.0" encoding="utf-8"?>
<table xmlns="http://schemas.openxmlformats.org/spreadsheetml/2006/main" id="17" name="tblExpenseCategories" displayName="tblExpenseCategories" ref="D2:D18" totalsRowShown="0" headerRowDxfId="50" dataDxfId="49">
  <tableColumns count="1">
    <tableColumn id="1" name="支出" dataDxfId="48"/>
  </tableColumns>
  <tableStyleInfo name="Other Custom Table Style" showFirstColumn="0" showLastColumn="0" showRowStripes="1" showColumnStripes="0"/>
  <extLst>
    <ext xmlns:x14="http://schemas.microsoft.com/office/spreadsheetml/2009/9/main" uri="{504A1905-F514-4f6f-8877-14C23A59335A}">
      <x14:table altText="Expense categories" altTextSummary="List of Expense categories for expense tables on the Budget sheet."/>
    </ext>
  </extLst>
</table>
</file>

<file path=xl/tables/table19.xml><?xml version="1.0" encoding="utf-8"?>
<table xmlns="http://schemas.openxmlformats.org/spreadsheetml/2006/main" id="18" name="tblExpensesHome" displayName="tblExpensesHome" ref="F4:F17" totalsRowShown="0" headerRowDxfId="47" dataDxfId="46">
  <tableColumns count="1">
    <tableColumn id="1" name="住宅" dataDxfId="45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Home expense list" altTextSummary="List of expenses that correspond to the Home category."/>
    </ext>
  </extLst>
</table>
</file>

<file path=xl/tables/table20.xml><?xml version="1.0" encoding="utf-8"?>
<table xmlns="http://schemas.openxmlformats.org/spreadsheetml/2006/main" id="19" name="tblExpensesDailyLiving" displayName="tblExpensesDailyLiving" ref="H4:H12" totalsRowShown="0" headerRowDxfId="44" dataDxfId="43">
  <tableColumns count="1">
    <tableColumn id="1" name="日常生活" dataDxfId="42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Daily Living expense list" altTextSummary="List of expenses that correspond to the daily living category."/>
    </ext>
  </extLst>
</table>
</file>

<file path=xl/tables/table21.xml><?xml version="1.0" encoding="utf-8"?>
<table xmlns="http://schemas.openxmlformats.org/spreadsheetml/2006/main" id="20" name="tblExpensesChildren" displayName="tblExpensesChildren" ref="J4:J12" totalsRowShown="0" headerRowDxfId="41" dataDxfId="40">
  <tableColumns count="1">
    <tableColumn id="1" name="孩子" dataDxfId="39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Children expense list" altTextSummary="List of expenses that correspond to the Children category."/>
    </ext>
  </extLst>
</table>
</file>

<file path=xl/tables/table22.xml><?xml version="1.0" encoding="utf-8"?>
<table xmlns="http://schemas.openxmlformats.org/spreadsheetml/2006/main" id="21" name="tblExpensesTransportation" displayName="tblExpensesTransportation" ref="F20:F26" totalsRowShown="0" headerRowDxfId="38" dataDxfId="37">
  <tableColumns count="1">
    <tableColumn id="1" name="交通" dataDxfId="36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Transportation expense list" altTextSummary="List of expenses that correspond to the Transportation category."/>
    </ext>
  </extLst>
</table>
</file>

<file path=xl/tables/table23.xml><?xml version="1.0" encoding="utf-8"?>
<table xmlns="http://schemas.openxmlformats.org/spreadsheetml/2006/main" id="25" name="tblExpensesEducation" displayName="tblExpensesEducation" ref="F29:F33" totalsRowShown="0" headerRowDxfId="35" dataDxfId="34">
  <tableColumns count="1">
    <tableColumn id="1" name="教育" dataDxfId="33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Education expense list" altTextSummary="List of expenses that correspond to the Education category."/>
    </ext>
  </extLst>
</table>
</file>

<file path=xl/tables/table24.xml><?xml version="1.0" encoding="utf-8"?>
<table xmlns="http://schemas.openxmlformats.org/spreadsheetml/2006/main" id="26" name="tblExpensesCharity" displayName="tblExpensesCharity" ref="H29:H33" totalsRowShown="0" headerRowDxfId="32" dataDxfId="31">
  <tableColumns count="1">
    <tableColumn id="1" name="慈善" dataDxfId="30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Charity expense list" altTextSummary="List of expenses that correspond to the Charity category."/>
    </ext>
  </extLst>
</table>
</file>

<file path=xl/tables/table25.xml><?xml version="1.0" encoding="utf-8"?>
<table xmlns="http://schemas.openxmlformats.org/spreadsheetml/2006/main" id="27" name="tblExpensesSavings" displayName="tblExpensesSavings" ref="J29:J35" totalsRowShown="0" headerRowDxfId="29" dataDxfId="28">
  <tableColumns count="1">
    <tableColumn id="1" name="储蓄" dataDxfId="27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Savings expense list" altTextSummary="List of expenses that correspond to the Savings category."/>
    </ext>
  </extLst>
</table>
</file>

<file path=xl/tables/table26.xml><?xml version="1.0" encoding="utf-8"?>
<table xmlns="http://schemas.openxmlformats.org/spreadsheetml/2006/main" id="28" name="tblExpensesObligations" displayName="tblExpensesObligations" ref="F38:F50" totalsRowShown="0" headerRowDxfId="26" dataDxfId="25">
  <tableColumns count="1">
    <tableColumn id="1" name="债务" dataDxfId="24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Obligations expense category" altTextSummary="List of expenses that correspond to the Obligations category."/>
    </ext>
  </extLst>
</table>
</file>

<file path=xl/tables/table27.xml><?xml version="1.0" encoding="utf-8"?>
<table xmlns="http://schemas.openxmlformats.org/spreadsheetml/2006/main" id="29" name="tblExpensesEntertainment" displayName="tblExpensesEntertainment" ref="H38:H51" totalsRowShown="0" headerRowDxfId="23" dataDxfId="22">
  <tableColumns count="1">
    <tableColumn id="1" name="娱乐" dataDxfId="21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Entertainment expense list" altTextSummary="List of expenses that correspond to the Entertainment category."/>
    </ext>
  </extLst>
</table>
</file>

<file path=xl/tables/table28.xml><?xml version="1.0" encoding="utf-8"?>
<table xmlns="http://schemas.openxmlformats.org/spreadsheetml/2006/main" id="30" name="tblExpensesPets" displayName="tblExpensesPets" ref="J38:J42" totalsRowShown="0" headerRowDxfId="20" dataDxfId="19">
  <tableColumns count="1">
    <tableColumn id="1" name="宠物" dataDxfId="18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Pets expense list" altTextSummary="List of expenses that correspond to the Pets category."/>
    </ext>
  </extLst>
</table>
</file>

<file path=xl/tables/table29.xml><?xml version="1.0" encoding="utf-8"?>
<table xmlns="http://schemas.openxmlformats.org/spreadsheetml/2006/main" id="31" name="tblExpensesSubscriptions" displayName="tblExpensesSubscriptions" ref="F53:F58" totalsRowShown="0" headerRowDxfId="17" dataDxfId="16">
  <tableColumns count="1">
    <tableColumn id="1" name="订阅" dataDxfId="15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Subscriptions expense list" altTextSummary="List of expenses that correspond to the Subscriptions category."/>
    </ext>
  </extLst>
</table>
</file>

<file path=xl/tables/table30.xml><?xml version="1.0" encoding="utf-8"?>
<table xmlns="http://schemas.openxmlformats.org/spreadsheetml/2006/main" id="32" name="tblExpensesVacation" displayName="tblExpensesVacation" ref="H53:H59" totalsRowShown="0" headerRowDxfId="14" dataDxfId="13">
  <tableColumns count="1">
    <tableColumn id="1" name="假期" dataDxfId="12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Vacation expense list" altTextSummary="List of expenses that correspond to the Vacation category."/>
    </ext>
  </extLst>
</table>
</file>

<file path=xl/tables/table31.xml><?xml version="1.0" encoding="utf-8"?>
<table xmlns="http://schemas.openxmlformats.org/spreadsheetml/2006/main" id="33" name="tblExpensesMisc" displayName="tblExpensesMisc" ref="J53:J56" totalsRowShown="0" headerRowDxfId="11" dataDxfId="10">
  <tableColumns count="1">
    <tableColumn id="1" name="杂项" dataDxfId="9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Miscellaneous expense list" altTextSummary="List of expenses that correspond to the Miscellaneous category."/>
    </ext>
  </extLst>
</table>
</file>

<file path=xl/tables/table32.xml><?xml version="1.0" encoding="utf-8"?>
<table xmlns="http://schemas.openxmlformats.org/spreadsheetml/2006/main" id="34" name="tblIncomeLineChoices" displayName="tblIncomeLineChoices" ref="B2:B9" totalsRowShown="0" headerRowDxfId="8" dataDxfId="7">
  <tableColumns count="1">
    <tableColumn id="1" name="收入" dataDxfId="6"/>
  </tableColumns>
  <tableStyleInfo name="Other Custom Table Style" showFirstColumn="0" showLastColumn="0" showRowStripes="1" showColumnStripes="0"/>
  <extLst>
    <ext xmlns:x14="http://schemas.microsoft.com/office/spreadsheetml/2009/9/main" uri="{504A1905-F514-4f6f-8877-14C23A59335A}">
      <x14:table altText="Income categories" altTextSummary="List of Income categories for Income table on the Budget sheet."/>
    </ext>
  </extLst>
</table>
</file>

<file path=xl/tables/table33.xml><?xml version="1.0" encoding="utf-8"?>
<table xmlns="http://schemas.openxmlformats.org/spreadsheetml/2006/main" id="23" name="tblExpensesHealth" displayName="tblExpensesHealth" ref="H20:H25" totalsRowShown="0" headerRowDxfId="5" dataDxfId="4">
  <tableColumns count="1">
    <tableColumn id="1" name="健康" dataDxfId="3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Health expense list" altTextSummary="List of expenses that correspond to the Health category."/>
    </ext>
  </extLst>
</table>
</file>

<file path=xl/tables/table34.xml><?xml version="1.0" encoding="utf-8"?>
<table xmlns="http://schemas.openxmlformats.org/spreadsheetml/2006/main" id="24" name="tblExpensesInsurance" displayName="tblExpensesInsurance" ref="J20:J25" totalsRowShown="0" headerRowDxfId="2" dataDxfId="1">
  <tableColumns count="1">
    <tableColumn id="1" name="保险" dataDxfId="0"/>
  </tableColumns>
  <tableStyleInfo name="Setup Tables" showFirstColumn="0" showLastColumn="0" showRowStripes="1" showColumnStripes="0"/>
  <extLst>
    <ext xmlns:x14="http://schemas.microsoft.com/office/spreadsheetml/2009/9/main" uri="{504A1905-F514-4f6f-8877-14C23A59335A}">
      <x14:table altText="Insurance expense list" altTextSummary="List of expenses that correspond to the Insurance category."/>
    </ext>
  </extLst>
</table>
</file>

<file path=xl/theme/theme1.xml><?xml version="1.0" encoding="utf-8"?>
<a:theme xmlns:a="http://schemas.openxmlformats.org/drawingml/2006/main" name="Office Theme">
  <a:themeElements>
    <a:clrScheme name="Generic Family Budget">
      <a:dk1>
        <a:sysClr val="windowText" lastClr="000000"/>
      </a:dk1>
      <a:lt1>
        <a:sysClr val="window" lastClr="FFFFFF"/>
      </a:lt1>
      <a:dk2>
        <a:srgbClr val="584232"/>
      </a:dk2>
      <a:lt2>
        <a:srgbClr val="E7EBEC"/>
      </a:lt2>
      <a:accent1>
        <a:srgbClr val="8A9FA1"/>
      </a:accent1>
      <a:accent2>
        <a:srgbClr val="FF3939"/>
      </a:accent2>
      <a:accent3>
        <a:srgbClr val="93A251"/>
      </a:accent3>
      <a:accent4>
        <a:srgbClr val="70607F"/>
      </a:accent4>
      <a:accent5>
        <a:srgbClr val="D9BD32"/>
      </a:accent5>
      <a:accent6>
        <a:srgbClr val="5679A2"/>
      </a:accent6>
      <a:hlink>
        <a:srgbClr val="5679A2"/>
      </a:hlink>
      <a:folHlink>
        <a:srgbClr val="70607F"/>
      </a:folHlink>
    </a:clrScheme>
    <a:fontScheme name="Generic Family Budget">
      <a:majorFont>
        <a:latin typeface="Euphemia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3"/>
        </a:solidFill>
        <a:ln>
          <a:noFill/>
        </a:ln>
      </a:spPr>
      <a:bodyPr vertOverflow="clip" horzOverflow="clip" rtlCol="0" anchor="ctr"/>
      <a:lstStyle>
        <a:defPPr algn="l">
          <a:defRPr sz="9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3" Type="http://schemas.openxmlformats.org/officeDocument/2006/relationships/image" Target="../media/image1.png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13" Type="http://schemas.openxmlformats.org/officeDocument/2006/relationships/table" Target="../tables/table27.xml"/><Relationship Id="rId18" Type="http://schemas.openxmlformats.org/officeDocument/2006/relationships/table" Target="../tables/table32.xml"/><Relationship Id="rId3" Type="http://schemas.openxmlformats.org/officeDocument/2006/relationships/image" Target="../media/image1.png"/><Relationship Id="rId7" Type="http://schemas.openxmlformats.org/officeDocument/2006/relationships/table" Target="../tables/table21.xml"/><Relationship Id="rId12" Type="http://schemas.openxmlformats.org/officeDocument/2006/relationships/table" Target="../tables/table26.xml"/><Relationship Id="rId17" Type="http://schemas.openxmlformats.org/officeDocument/2006/relationships/table" Target="../tables/table31.xml"/><Relationship Id="rId2" Type="http://schemas.openxmlformats.org/officeDocument/2006/relationships/drawing" Target="../drawings/drawing3.xml"/><Relationship Id="rId16" Type="http://schemas.openxmlformats.org/officeDocument/2006/relationships/table" Target="../tables/table30.xml"/><Relationship Id="rId20" Type="http://schemas.openxmlformats.org/officeDocument/2006/relationships/table" Target="../tables/table3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0.xml"/><Relationship Id="rId11" Type="http://schemas.openxmlformats.org/officeDocument/2006/relationships/table" Target="../tables/table25.xml"/><Relationship Id="rId5" Type="http://schemas.openxmlformats.org/officeDocument/2006/relationships/table" Target="../tables/table19.xml"/><Relationship Id="rId15" Type="http://schemas.openxmlformats.org/officeDocument/2006/relationships/table" Target="../tables/table29.xml"/><Relationship Id="rId10" Type="http://schemas.openxmlformats.org/officeDocument/2006/relationships/table" Target="../tables/table24.xml"/><Relationship Id="rId19" Type="http://schemas.openxmlformats.org/officeDocument/2006/relationships/table" Target="../tables/table33.xml"/><Relationship Id="rId4" Type="http://schemas.openxmlformats.org/officeDocument/2006/relationships/table" Target="../tables/table18.xml"/><Relationship Id="rId9" Type="http://schemas.openxmlformats.org/officeDocument/2006/relationships/table" Target="../tables/table23.xml"/><Relationship Id="rId14" Type="http://schemas.openxmlformats.org/officeDocument/2006/relationships/table" Target="../tables/table2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/>
    <pageSetUpPr autoPageBreaks="0" fitToPage="1"/>
  </sheetPr>
  <dimension ref="A1:O276"/>
  <sheetViews>
    <sheetView showGridLines="0" tabSelected="1" zoomScaleNormal="100" workbookViewId="0"/>
  </sheetViews>
  <sheetFormatPr defaultColWidth="0" defaultRowHeight="14.25" zeroHeight="1"/>
  <cols>
    <col min="1" max="1" width="7.5703125" style="5" customWidth="1"/>
    <col min="2" max="14" width="9.140625" style="5" customWidth="1"/>
    <col min="15" max="15" width="6.85546875" style="5" customWidth="1"/>
    <col min="16" max="16384" width="10.28515625" style="5" hidden="1"/>
  </cols>
  <sheetData>
    <row r="1" spans="1:15" s="1" customFormat="1" ht="34.5" customHeight="1">
      <c r="J1" s="2"/>
      <c r="N1" s="3" t="str">
        <f>BudgetName&amp;" 交互式预算"</f>
        <v>孙荷佑一家 2012 年 交互式预算</v>
      </c>
    </row>
    <row r="2" spans="1:1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>
      <c r="A3" s="35">
        <f>图表数据!C38</f>
        <v>40000</v>
      </c>
      <c r="B3" s="35"/>
      <c r="C3" s="35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>
      <c r="A4" s="35"/>
      <c r="B4" s="35"/>
      <c r="C4" s="35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ht="21.75">
      <c r="A5" s="35"/>
      <c r="B5" s="35"/>
      <c r="C5" s="35"/>
      <c r="D5" s="6" t="s">
        <v>20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5">
      <c r="A7" s="35">
        <f>图表数据!C39</f>
        <v>59330</v>
      </c>
      <c r="B7" s="35"/>
      <c r="C7" s="35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5">
      <c r="A8" s="35"/>
      <c r="B8" s="35"/>
      <c r="C8" s="35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</row>
    <row r="9" spans="1:15" ht="21.75">
      <c r="A9" s="35"/>
      <c r="B9" s="35"/>
      <c r="C9" s="35"/>
      <c r="D9" s="6" t="s">
        <v>28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</row>
    <row r="10" spans="1:1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1:15">
      <c r="A11" s="36" t="str">
        <f>图表数据!D40&amp; "¥"&amp;图表数据!C40</f>
        <v>-¥19330</v>
      </c>
      <c r="B11" s="36"/>
      <c r="C11" s="36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</row>
    <row r="12" spans="1:15">
      <c r="A12" s="36"/>
      <c r="B12" s="36"/>
      <c r="C12" s="36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</row>
    <row r="13" spans="1:15" ht="21.75">
      <c r="A13" s="36"/>
      <c r="B13" s="36"/>
      <c r="C13" s="36"/>
      <c r="D13" s="6" t="s">
        <v>133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</row>
    <row r="14" spans="1:1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</row>
    <row r="15" spans="1: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</row>
    <row r="17" spans="1:1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</row>
    <row r="18" spans="1:15" s="7" customFormat="1"/>
    <row r="19" spans="1:15" s="7" customFormat="1"/>
    <row r="20" spans="1:15" s="7" customFormat="1"/>
    <row r="21" spans="1:15" s="7" customFormat="1"/>
    <row r="22" spans="1:15" s="7" customFormat="1"/>
    <row r="23" spans="1:15" s="7" customFormat="1"/>
    <row r="24" spans="1:15" s="7" customFormat="1"/>
    <row r="25" spans="1:15" s="8" customFormat="1" ht="15.75" customHeight="1"/>
    <row r="26" spans="1:15" hidden="1"/>
    <row r="27" spans="1:15" hidden="1"/>
    <row r="28" spans="1:15" hidden="1"/>
    <row r="29" spans="1:15" hidden="1"/>
    <row r="30" spans="1:15" hidden="1"/>
    <row r="31" spans="1:15" hidden="1"/>
    <row r="32" spans="1:15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t="0.75" hidden="1" customHeight="1"/>
  </sheetData>
  <sheetProtection selectLockedCells="1"/>
  <mergeCells count="3">
    <mergeCell ref="A3:C5"/>
    <mergeCell ref="A7:C9"/>
    <mergeCell ref="A11:C13"/>
  </mergeCells>
  <phoneticPr fontId="4" type="noConversion"/>
  <printOptions horizontalCentered="1"/>
  <pageMargins left="0.5" right="0.5" top="0.5" bottom="0.5" header="0" footer="0"/>
  <pageSetup orientation="landscape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月滚动">
              <controlPr defaultSize="0" print="0" autoPict="0" altText="单击可按月份循环浏览支出明细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16383</xdr:col>
                    <xdr:colOff>0</xdr:colOff>
                    <xdr:row>1048575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Scroll Bar 3">
              <controlPr defaultSize="0" print="0" autoPict="0" altText="单击可按月份循环浏览支出明细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16383</xdr:col>
                    <xdr:colOff>0</xdr:colOff>
                    <xdr:row>1048575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月滚动">
              <controlPr defaultSize="0" print="0" autoPict="0" altText="单击可按月份循环浏览支出明细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16383</xdr:col>
                    <xdr:colOff>0</xdr:colOff>
                    <xdr:row>1048575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月滚动">
              <controlPr defaultSize="0" print="0" autoPict="0" altText="单击可按月份循环浏览支出明细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16383</xdr:col>
                    <xdr:colOff>0</xdr:colOff>
                    <xdr:row>1048575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P131"/>
  <sheetViews>
    <sheetView showGridLines="0" zoomScaleNormal="100" workbookViewId="0">
      <pane ySplit="3" topLeftCell="A4" activePane="bottomLeft" state="frozen"/>
      <selection activeCell="B1" sqref="B1"/>
      <selection pane="bottomLeft"/>
    </sheetView>
  </sheetViews>
  <sheetFormatPr defaultRowHeight="16.5" customHeight="1"/>
  <cols>
    <col min="1" max="1" width="1.85546875" style="4" customWidth="1"/>
    <col min="2" max="2" width="24.85546875" style="4" customWidth="1"/>
    <col min="3" max="14" width="9.5703125" style="4" customWidth="1"/>
    <col min="15" max="16" width="9.5703125" style="14" customWidth="1"/>
    <col min="17" max="17" width="0.7109375" style="4" customWidth="1"/>
    <col min="18" max="16384" width="9.140625" style="4"/>
  </cols>
  <sheetData>
    <row r="1" spans="1:16" ht="34.5" customHeight="1">
      <c r="A1" s="7"/>
      <c r="B1" s="7"/>
      <c r="C1" s="9" t="s">
        <v>134</v>
      </c>
      <c r="D1" s="9" t="s">
        <v>7</v>
      </c>
      <c r="E1" s="9" t="s">
        <v>8</v>
      </c>
      <c r="F1" s="9" t="s">
        <v>9</v>
      </c>
      <c r="G1" s="9" t="s">
        <v>10</v>
      </c>
      <c r="H1" s="9" t="s">
        <v>11</v>
      </c>
      <c r="I1" s="9" t="s">
        <v>12</v>
      </c>
      <c r="J1" s="9" t="s">
        <v>13</v>
      </c>
      <c r="K1" s="9" t="s">
        <v>14</v>
      </c>
      <c r="L1" s="9" t="s">
        <v>15</v>
      </c>
      <c r="M1" s="9" t="s">
        <v>16</v>
      </c>
      <c r="N1" s="9" t="s">
        <v>17</v>
      </c>
      <c r="O1" s="10" t="s">
        <v>18</v>
      </c>
      <c r="P1" s="10" t="s">
        <v>19</v>
      </c>
    </row>
    <row r="2" spans="1:16" ht="16.5" customHeight="1">
      <c r="O2" s="11"/>
      <c r="P2" s="11"/>
    </row>
    <row r="5" spans="1:16" ht="16.5" customHeight="1">
      <c r="B5" s="12" t="s">
        <v>125</v>
      </c>
      <c r="C5" s="13">
        <v>10000</v>
      </c>
    </row>
    <row r="6" spans="1:16" ht="16.5" customHeight="1">
      <c r="B6" s="15" t="s">
        <v>126</v>
      </c>
      <c r="C6" s="16">
        <f>SUM(tblIncome[1 月])</f>
        <v>42220</v>
      </c>
      <c r="D6" s="16">
        <f>SUM(tblIncome[2 月])</f>
        <v>90330</v>
      </c>
      <c r="E6" s="16">
        <f>SUM(tblIncome[3 月])</f>
        <v>40000</v>
      </c>
      <c r="F6" s="16">
        <f>SUM(tblIncome[4 月])</f>
        <v>40450</v>
      </c>
      <c r="G6" s="16">
        <f>SUM(tblIncome[5 月])</f>
        <v>90000</v>
      </c>
      <c r="H6" s="16">
        <f>SUM(tblIncome[6 月])</f>
        <v>15250</v>
      </c>
      <c r="I6" s="16">
        <f>SUM(tblIncome[7 月])</f>
        <v>15000</v>
      </c>
      <c r="J6" s="16">
        <f>SUM(tblIncome[8 月])</f>
        <v>65000</v>
      </c>
      <c r="K6" s="16">
        <f>SUM(tblIncome[9 月])</f>
        <v>40000</v>
      </c>
      <c r="L6" s="16">
        <f>SUM(tblIncome[10 月])</f>
        <v>40000</v>
      </c>
      <c r="M6" s="16">
        <f>SUM(tblIncome[11 月])</f>
        <v>90000</v>
      </c>
      <c r="N6" s="16">
        <f>SUM(tblIncome[12 月])</f>
        <v>40000</v>
      </c>
      <c r="O6" s="17">
        <f>SUM(tblIncome[年])</f>
        <v>608250</v>
      </c>
      <c r="P6" s="17">
        <f>O6/12</f>
        <v>50687.5</v>
      </c>
    </row>
    <row r="7" spans="1:16" ht="16.5" customHeight="1">
      <c r="B7" s="15" t="s">
        <v>127</v>
      </c>
      <c r="C7" s="16">
        <f>SUM(tblExpenseCategory_01[1 月],tblExpenseCategory_02[1 月],tblExpenseCategory_03[1 月],tblExpenseCategory_04[1 月],tblExpenseCategory_05[1 月],tblExpenseCategory_06[1 月],tblExpenseCategory_07[1 月],tblExpenseCategory_08[1 月],tblExpenseCategory_09[1 月],tblExpenseCategory_10[1 月],tblExpenseCategory_11[1 月],tblExpenseCategory_12[1 月],tblExpenseCategory_13[1 月],tblExpenseCategory_14[1 月],tblExpenseCategory_15[1 月])</f>
        <v>79360</v>
      </c>
      <c r="D7" s="16">
        <f>SUM(tblExpenseCategory_01[2 月],tblExpenseCategory_02[2 月],tblExpenseCategory_03[2 月],tblExpenseCategory_04[2 月],tblExpenseCategory_05[2 月],tblExpenseCategory_06[2 月],tblExpenseCategory_07[2 月],tblExpenseCategory_08[2 月],tblExpenseCategory_09[2 月],tblExpenseCategory_10[2 月],tblExpenseCategory_11[2 月],tblExpenseCategory_12[2 月],tblExpenseCategory_13[2 月],tblExpenseCategory_14[2 月],tblExpenseCategory_15[2 月])</f>
        <v>52430</v>
      </c>
      <c r="E7" s="16">
        <f>SUM(tblExpenseCategory_01[3 月],tblExpenseCategory_02[3 月],tblExpenseCategory_03[3 月],tblExpenseCategory_04[3 月],tblExpenseCategory_05[3 月],tblExpenseCategory_06[3 月],tblExpenseCategory_07[3 月],tblExpenseCategory_08[3 月],tblExpenseCategory_09[3 月],tblExpenseCategory_10[3 月],tblExpenseCategory_11[3 月],tblExpenseCategory_12[3 月],tblExpenseCategory_13[3 月],tblExpenseCategory_14[3 月],tblExpenseCategory_15[3 月])</f>
        <v>59330</v>
      </c>
      <c r="F7" s="16">
        <f>SUM(tblExpenseCategory_01[4 月],tblExpenseCategory_02[4 月],tblExpenseCategory_03[4 月],tblExpenseCategory_04[4 月],tblExpenseCategory_05[4 月],tblExpenseCategory_06[4 月],tblExpenseCategory_07[4 月],tblExpenseCategory_08[4 月],tblExpenseCategory_09[4 月],tblExpenseCategory_10[4 月],tblExpenseCategory_11[4 月],tblExpenseCategory_12[4 月],tblExpenseCategory_13[4 月],tblExpenseCategory_14[4 月],tblExpenseCategory_15[4 月])</f>
        <v>58580</v>
      </c>
      <c r="G7" s="16">
        <f>SUM(tblExpenseCategory_01[5 月],tblExpenseCategory_02[5 月],tblExpenseCategory_03[5 月],tblExpenseCategory_04[5 月],tblExpenseCategory_05[5 月],tblExpenseCategory_06[5 月],tblExpenseCategory_07[5 月],tblExpenseCategory_08[5 月],tblExpenseCategory_09[5 月],tblExpenseCategory_10[5 月],tblExpenseCategory_11[5 月],tblExpenseCategory_12[5 月],tblExpenseCategory_13[5 月],tblExpenseCategory_14[5 月],tblExpenseCategory_15[5 月])</f>
        <v>54680</v>
      </c>
      <c r="H7" s="16">
        <f>SUM(tblExpenseCategory_01[6 月],tblExpenseCategory_02[6 月],tblExpenseCategory_03[6 月],tblExpenseCategory_04[6 月],tblExpenseCategory_05[6 月],tblExpenseCategory_06[6 月],tblExpenseCategory_07[6 月],tblExpenseCategory_08[6 月],tblExpenseCategory_09[6 月],tblExpenseCategory_10[6 月],tblExpenseCategory_11[6 月],tblExpenseCategory_12[6 月],tblExpenseCategory_13[6 月],tblExpenseCategory_14[6 月],tblExpenseCategory_15[6 月])</f>
        <v>51180</v>
      </c>
      <c r="I7" s="16">
        <f>SUM(tblExpenseCategory_01[7 月],tblExpenseCategory_02[7 月],tblExpenseCategory_03[7 月],tblExpenseCategory_04[7 月],tblExpenseCategory_05[7 月],tblExpenseCategory_06[7 月],tblExpenseCategory_07[7 月],tblExpenseCategory_08[7 月],tblExpenseCategory_09[7 月],tblExpenseCategory_10[7 月],tblExpenseCategory_11[7 月],tblExpenseCategory_12[7 月],tblExpenseCategory_13[7 月],tblExpenseCategory_14[7 月],tblExpenseCategory_15[7 月])</f>
        <v>57430</v>
      </c>
      <c r="J7" s="16">
        <f>SUM(tblExpenseCategory_01[8 月],tblExpenseCategory_02[8 月],tblExpenseCategory_03[8 月],tblExpenseCategory_04[8 月],tblExpenseCategory_05[8 月],tblExpenseCategory_06[8 月],tblExpenseCategory_07[8 月],tblExpenseCategory_08[8 月],tblExpenseCategory_09[8 月],tblExpenseCategory_10[8 月],tblExpenseCategory_11[8 月],tblExpenseCategory_12[8 月],tblExpenseCategory_13[8 月],tblExpenseCategory_14[8 月],tblExpenseCategory_15[8 月])</f>
        <v>53530</v>
      </c>
      <c r="K7" s="16">
        <f>SUM(tblExpenseCategory_01[9 月],tblExpenseCategory_02[9 月],tblExpenseCategory_03[9 月],tblExpenseCategory_04[9 月],tblExpenseCategory_05[9 月],tblExpenseCategory_06[9 月],tblExpenseCategory_07[9 月],tblExpenseCategory_08[9 月],tblExpenseCategory_09[9 月],tblExpenseCategory_10[9 月],tblExpenseCategory_11[9 月],tblExpenseCategory_12[9 月],tblExpenseCategory_13[9 月],tblExpenseCategory_14[9 月],tblExpenseCategory_15[9 月])</f>
        <v>59830</v>
      </c>
      <c r="L7" s="16">
        <f>SUM(tblExpenseCategory_01[10 月],tblExpenseCategory_02[10 月],tblExpenseCategory_03[10 月],tblExpenseCategory_04[10 月],tblExpenseCategory_05[10 月],tblExpenseCategory_06[10 月],tblExpenseCategory_07[10 月],tblExpenseCategory_08[10 月],tblExpenseCategory_09[10 月],tblExpenseCategory_10[10 月],tblExpenseCategory_11[10 月],tblExpenseCategory_12[10 月],tblExpenseCategory_13[10 月],tblExpenseCategory_14[10 月],tblExpenseCategory_15[10 月])</f>
        <v>59430</v>
      </c>
      <c r="M7" s="16">
        <f>SUM(tblExpenseCategory_01[11 月],tblExpenseCategory_02[11 月],tblExpenseCategory_03[11 月],tblExpenseCategory_04[11 月],tblExpenseCategory_05[11 月],tblExpenseCategory_06[11 月],tblExpenseCategory_07[11 月],tblExpenseCategory_08[11 月],tblExpenseCategory_09[11 月],tblExpenseCategory_10[11 月],tblExpenseCategory_11[11 月],tblExpenseCategory_12[11 月],tblExpenseCategory_13[11 月],tblExpenseCategory_14[11 月],tblExpenseCategory_15[11 月])</f>
        <v>50580</v>
      </c>
      <c r="N7" s="16">
        <f>SUM(tblExpenseCategory_01[12 月],tblExpenseCategory_02[12 月],tblExpenseCategory_03[12 月],tblExpenseCategory_04[12 月],tblExpenseCategory_05[12 月],tblExpenseCategory_06[12 月],tblExpenseCategory_07[12 月],tblExpenseCategory_08[12 月],tblExpenseCategory_09[12 月],tblExpenseCategory_10[12 月],tblExpenseCategory_11[12 月],tblExpenseCategory_12[12 月],tblExpenseCategory_13[12 月],tblExpenseCategory_14[12 月],tblExpenseCategory_15[12 月])</f>
        <v>49580</v>
      </c>
      <c r="O7" s="17">
        <f>SUM(tblExpenseCategory_01[年],tblExpenseCategory_02[年],tblExpenseCategory_03[年],tblExpenseCategory_04[年],tblExpenseCategory_05[年],tblExpenseCategory_06[年],tblExpenseCategory_07[年],tblExpenseCategory_08[年],tblExpenseCategory_09[年],tblExpenseCategory_10[年],tblExpenseCategory_11[年],tblExpenseCategory_12[年],tblExpenseCategory_13[年],tblExpenseCategory_14[年],tblExpenseCategory_15[年])</f>
        <v>685940</v>
      </c>
      <c r="P7" s="17">
        <f>O7/12</f>
        <v>57161.666666666664</v>
      </c>
    </row>
    <row r="8" spans="1:16" ht="16.5" customHeight="1">
      <c r="B8" s="15" t="s">
        <v>128</v>
      </c>
      <c r="C8" s="16">
        <f>C6-C7</f>
        <v>-37140</v>
      </c>
      <c r="D8" s="16">
        <f t="shared" ref="D8:O8" si="0">D6-D7</f>
        <v>37900</v>
      </c>
      <c r="E8" s="16">
        <f t="shared" si="0"/>
        <v>-19330</v>
      </c>
      <c r="F8" s="16">
        <f t="shared" si="0"/>
        <v>-18130</v>
      </c>
      <c r="G8" s="16">
        <f t="shared" si="0"/>
        <v>35320</v>
      </c>
      <c r="H8" s="16">
        <f t="shared" si="0"/>
        <v>-35930</v>
      </c>
      <c r="I8" s="16">
        <f t="shared" si="0"/>
        <v>-42430</v>
      </c>
      <c r="J8" s="16">
        <f t="shared" si="0"/>
        <v>11470</v>
      </c>
      <c r="K8" s="16">
        <f t="shared" si="0"/>
        <v>-19830</v>
      </c>
      <c r="L8" s="16">
        <f t="shared" si="0"/>
        <v>-19430</v>
      </c>
      <c r="M8" s="16">
        <f t="shared" si="0"/>
        <v>39420</v>
      </c>
      <c r="N8" s="16">
        <f t="shared" si="0"/>
        <v>-9580</v>
      </c>
      <c r="O8" s="17">
        <f t="shared" si="0"/>
        <v>-77690</v>
      </c>
      <c r="P8" s="17">
        <f>O8/12</f>
        <v>-6474.166666666667</v>
      </c>
    </row>
    <row r="9" spans="1:16" ht="16.5" customHeight="1">
      <c r="B9" s="15" t="s">
        <v>129</v>
      </c>
      <c r="C9" s="16">
        <f>C5+C6-C7</f>
        <v>-27140</v>
      </c>
      <c r="D9" s="16">
        <f>C9+D6-D7</f>
        <v>10760</v>
      </c>
      <c r="E9" s="16">
        <f t="shared" ref="E9:N9" si="1">D9+E6-E7</f>
        <v>-8570</v>
      </c>
      <c r="F9" s="16">
        <f t="shared" si="1"/>
        <v>-26700</v>
      </c>
      <c r="G9" s="16">
        <f t="shared" si="1"/>
        <v>8620</v>
      </c>
      <c r="H9" s="16">
        <f t="shared" si="1"/>
        <v>-27310</v>
      </c>
      <c r="I9" s="16">
        <f t="shared" si="1"/>
        <v>-69740</v>
      </c>
      <c r="J9" s="16">
        <f t="shared" si="1"/>
        <v>-58270</v>
      </c>
      <c r="K9" s="16">
        <f t="shared" si="1"/>
        <v>-78100</v>
      </c>
      <c r="L9" s="16">
        <f t="shared" si="1"/>
        <v>-97530</v>
      </c>
      <c r="M9" s="16">
        <f t="shared" si="1"/>
        <v>-58110</v>
      </c>
      <c r="N9" s="16">
        <f t="shared" si="1"/>
        <v>-67690</v>
      </c>
      <c r="O9" s="17"/>
      <c r="P9" s="17"/>
    </row>
    <row r="10" spans="1:16" ht="16.5" customHeight="1">
      <c r="B10" s="12"/>
      <c r="C10" s="18"/>
      <c r="D10" s="18"/>
      <c r="E10" s="18"/>
      <c r="F10" s="18"/>
      <c r="G10" s="18"/>
      <c r="I10" s="18"/>
      <c r="J10" s="18"/>
      <c r="K10" s="18"/>
      <c r="L10" s="18"/>
      <c r="M10" s="18"/>
      <c r="N10" s="18"/>
      <c r="O10" s="19"/>
      <c r="P10" s="19"/>
    </row>
    <row r="11" spans="1:16" ht="16.5" customHeight="1" thickBot="1">
      <c r="B11" s="12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9"/>
      <c r="P11" s="19"/>
    </row>
    <row r="12" spans="1:16" ht="16.5" customHeight="1" thickTop="1">
      <c r="B12" s="20" t="s">
        <v>20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2"/>
      <c r="P12" s="22"/>
    </row>
    <row r="13" spans="1:16" ht="16.5" customHeight="1">
      <c r="B13" s="15" t="s">
        <v>130</v>
      </c>
      <c r="C13" s="16">
        <v>40000</v>
      </c>
      <c r="D13" s="16">
        <v>40000</v>
      </c>
      <c r="E13" s="16">
        <v>40000</v>
      </c>
      <c r="F13" s="16">
        <v>40000</v>
      </c>
      <c r="G13" s="16">
        <v>40000</v>
      </c>
      <c r="H13" s="16">
        <v>10000</v>
      </c>
      <c r="I13" s="16">
        <v>10000</v>
      </c>
      <c r="J13" s="16">
        <v>10000</v>
      </c>
      <c r="K13" s="16">
        <v>40000</v>
      </c>
      <c r="L13" s="16">
        <v>40000</v>
      </c>
      <c r="M13" s="16">
        <v>40000</v>
      </c>
      <c r="N13" s="16">
        <v>40000</v>
      </c>
      <c r="O13" s="17">
        <f>SUM(tblIncome[[#This Row],[1 月]:[12 月]])</f>
        <v>390000</v>
      </c>
      <c r="P13" s="17">
        <f>tblIncome[[#This Row],[年]]/12</f>
        <v>32500</v>
      </c>
    </row>
    <row r="14" spans="1:16" ht="16.5" customHeight="1">
      <c r="B14" s="15" t="s">
        <v>22</v>
      </c>
      <c r="C14" s="16">
        <v>2220</v>
      </c>
      <c r="D14" s="16">
        <v>330</v>
      </c>
      <c r="E14" s="16"/>
      <c r="F14" s="16">
        <v>450</v>
      </c>
      <c r="G14" s="16"/>
      <c r="H14" s="16">
        <v>250</v>
      </c>
      <c r="I14" s="16"/>
      <c r="J14" s="16"/>
      <c r="K14" s="16"/>
      <c r="L14" s="16"/>
      <c r="M14" s="16"/>
      <c r="N14" s="16"/>
      <c r="O14" s="17">
        <f>SUM(tblIncome[[#This Row],[1 月]:[12 月]])</f>
        <v>3250</v>
      </c>
      <c r="P14" s="17">
        <f>tblIncome[[#This Row],[年]]/12</f>
        <v>270.83333333333331</v>
      </c>
    </row>
    <row r="15" spans="1:16" ht="16.5" customHeight="1">
      <c r="B15" s="15" t="s">
        <v>23</v>
      </c>
      <c r="C15" s="16"/>
      <c r="D15" s="16">
        <v>50000</v>
      </c>
      <c r="E15" s="16"/>
      <c r="F15" s="16"/>
      <c r="G15" s="16">
        <v>50000</v>
      </c>
      <c r="H15" s="16"/>
      <c r="I15" s="16"/>
      <c r="J15" s="16">
        <v>50000</v>
      </c>
      <c r="K15" s="16"/>
      <c r="L15" s="16"/>
      <c r="M15" s="16">
        <v>50000</v>
      </c>
      <c r="N15" s="16"/>
      <c r="O15" s="17">
        <f>SUM(tblIncome[[#This Row],[1 月]:[12 月]])</f>
        <v>200000</v>
      </c>
      <c r="P15" s="17">
        <f>tblIncome[[#This Row],[年]]/12</f>
        <v>16666.666666666668</v>
      </c>
    </row>
    <row r="16" spans="1:16" ht="16.5" customHeight="1">
      <c r="B16" s="15" t="s">
        <v>25</v>
      </c>
      <c r="C16" s="16"/>
      <c r="D16" s="16"/>
      <c r="E16" s="16"/>
      <c r="F16" s="16"/>
      <c r="G16" s="16"/>
      <c r="H16" s="16">
        <v>5000</v>
      </c>
      <c r="I16" s="16">
        <v>5000</v>
      </c>
      <c r="J16" s="16">
        <v>5000</v>
      </c>
      <c r="K16" s="16"/>
      <c r="L16" s="16"/>
      <c r="M16" s="16"/>
      <c r="N16" s="16"/>
      <c r="O16" s="17">
        <f>SUM(tblIncome[[#This Row],[1 月]:[12 月]])</f>
        <v>15000</v>
      </c>
      <c r="P16" s="17">
        <f>tblIncome[[#This Row],[年]]/12</f>
        <v>1250</v>
      </c>
    </row>
    <row r="17" spans="2:16" ht="16.5" customHeight="1">
      <c r="B17" s="15" t="s">
        <v>27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7">
        <f>SUM(tblIncome[[#This Row],[1 月]:[12 月]])</f>
        <v>0</v>
      </c>
      <c r="P17" s="17">
        <f>tblIncome[[#This Row],[年]]/12</f>
        <v>0</v>
      </c>
    </row>
    <row r="18" spans="2:16" ht="16.5" customHeight="1">
      <c r="B18" s="15" t="str">
        <f>UPPER(B12&amp;" 总额")</f>
        <v>收入 总额</v>
      </c>
      <c r="C18" s="16">
        <f>SUM(tblIncome[1 月])</f>
        <v>42220</v>
      </c>
      <c r="D18" s="16">
        <f>SUM(tblIncome[2 月])</f>
        <v>90330</v>
      </c>
      <c r="E18" s="16">
        <f>SUM(tblIncome[3 月])</f>
        <v>40000</v>
      </c>
      <c r="F18" s="16">
        <f>SUM(tblIncome[4 月])</f>
        <v>40450</v>
      </c>
      <c r="G18" s="16">
        <f>SUM(tblIncome[5 月])</f>
        <v>90000</v>
      </c>
      <c r="H18" s="16">
        <f>SUM(tblIncome[6 月])</f>
        <v>15250</v>
      </c>
      <c r="I18" s="16">
        <f>SUM(tblIncome[7 月])</f>
        <v>15000</v>
      </c>
      <c r="J18" s="16">
        <f>SUM(tblIncome[8 月])</f>
        <v>65000</v>
      </c>
      <c r="K18" s="16">
        <f>SUM(tblIncome[9 月])</f>
        <v>40000</v>
      </c>
      <c r="L18" s="16">
        <f>SUM(tblIncome[10 月])</f>
        <v>40000</v>
      </c>
      <c r="M18" s="16">
        <f>SUM(tblIncome[11 月])</f>
        <v>90000</v>
      </c>
      <c r="N18" s="16">
        <f>SUM(tblIncome[12 月])</f>
        <v>40000</v>
      </c>
      <c r="O18" s="17">
        <f>SUM(tblIncome[年])</f>
        <v>608250</v>
      </c>
      <c r="P18" s="17">
        <f>tblIncome[[#Totals],[年]]/12</f>
        <v>50687.5</v>
      </c>
    </row>
    <row r="19" spans="2:16" ht="16.5" customHeight="1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19"/>
      <c r="P19" s="19"/>
    </row>
    <row r="20" spans="2:16" ht="16.5" customHeight="1" thickBot="1">
      <c r="B20" s="12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9"/>
      <c r="P20" s="19"/>
    </row>
    <row r="21" spans="2:16" ht="16.5" customHeight="1" thickTop="1">
      <c r="B21" s="20" t="s">
        <v>29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2"/>
      <c r="P21" s="22"/>
    </row>
    <row r="22" spans="2:16" ht="16.5" customHeight="1">
      <c r="B22" s="15" t="s">
        <v>44</v>
      </c>
      <c r="C22" s="16">
        <v>8500</v>
      </c>
      <c r="D22" s="16">
        <v>8500</v>
      </c>
      <c r="E22" s="16">
        <v>8500</v>
      </c>
      <c r="F22" s="16">
        <v>8500</v>
      </c>
      <c r="G22" s="16">
        <v>8500</v>
      </c>
      <c r="H22" s="16">
        <v>8500</v>
      </c>
      <c r="I22" s="16">
        <v>8500</v>
      </c>
      <c r="J22" s="16">
        <v>8500</v>
      </c>
      <c r="K22" s="16">
        <v>8500</v>
      </c>
      <c r="L22" s="16">
        <v>8500</v>
      </c>
      <c r="M22" s="16">
        <v>9000</v>
      </c>
      <c r="N22" s="16">
        <v>9000</v>
      </c>
      <c r="O22" s="17">
        <f>SUM(tblExpenseCategory_01[[#This Row],[1 月]:[12 月]])</f>
        <v>103000</v>
      </c>
      <c r="P22" s="17">
        <f>tblExpenseCategory_01[[#This Row],[年]]/12</f>
        <v>8583.3333333333339</v>
      </c>
    </row>
    <row r="23" spans="2:16" ht="16.5" customHeight="1">
      <c r="B23" s="15" t="s">
        <v>45</v>
      </c>
      <c r="C23" s="16">
        <v>2000</v>
      </c>
      <c r="D23" s="16">
        <v>2000</v>
      </c>
      <c r="E23" s="16">
        <v>1750</v>
      </c>
      <c r="F23" s="16">
        <v>1500</v>
      </c>
      <c r="G23" s="16">
        <v>1500</v>
      </c>
      <c r="H23" s="16">
        <v>1750</v>
      </c>
      <c r="I23" s="16">
        <v>2250</v>
      </c>
      <c r="J23" s="16">
        <v>2750</v>
      </c>
      <c r="K23" s="16">
        <v>2000</v>
      </c>
      <c r="L23" s="16">
        <v>1500</v>
      </c>
      <c r="M23" s="16">
        <v>1500</v>
      </c>
      <c r="N23" s="16">
        <v>1500</v>
      </c>
      <c r="O23" s="17">
        <f>SUM(tblExpenseCategory_01[[#This Row],[1 月]:[12 月]])</f>
        <v>22000</v>
      </c>
      <c r="P23" s="17">
        <f>tblExpenseCategory_01[[#This Row],[年]]/12</f>
        <v>1833.3333333333333</v>
      </c>
    </row>
    <row r="24" spans="2:16" ht="16.5" customHeight="1">
      <c r="B24" s="15" t="s">
        <v>48</v>
      </c>
      <c r="C24" s="16">
        <v>500</v>
      </c>
      <c r="D24" s="16">
        <v>500</v>
      </c>
      <c r="E24" s="16">
        <v>1000</v>
      </c>
      <c r="F24" s="16">
        <v>1000</v>
      </c>
      <c r="G24" s="16">
        <v>500</v>
      </c>
      <c r="H24" s="16">
        <v>500</v>
      </c>
      <c r="I24" s="16">
        <v>1000</v>
      </c>
      <c r="J24" s="16">
        <v>1000</v>
      </c>
      <c r="K24" s="16">
        <v>500</v>
      </c>
      <c r="L24" s="16">
        <v>500</v>
      </c>
      <c r="M24" s="16">
        <v>500</v>
      </c>
      <c r="N24" s="16">
        <v>500</v>
      </c>
      <c r="O24" s="17">
        <f>SUM(tblExpenseCategory_01[[#This Row],[1 月]:[12 月]])</f>
        <v>8000</v>
      </c>
      <c r="P24" s="17">
        <f>tblExpenseCategory_01[[#This Row],[年]]/12</f>
        <v>666.66666666666663</v>
      </c>
    </row>
    <row r="25" spans="2:16" ht="16.5" customHeight="1">
      <c r="B25" s="15" t="s">
        <v>49</v>
      </c>
      <c r="C25" s="16">
        <v>690</v>
      </c>
      <c r="D25" s="16">
        <v>690</v>
      </c>
      <c r="E25" s="16">
        <v>690</v>
      </c>
      <c r="F25" s="16">
        <v>690</v>
      </c>
      <c r="G25" s="16">
        <v>690</v>
      </c>
      <c r="H25" s="16">
        <v>690</v>
      </c>
      <c r="I25" s="16">
        <v>690</v>
      </c>
      <c r="J25" s="16">
        <v>690</v>
      </c>
      <c r="K25" s="16">
        <v>690</v>
      </c>
      <c r="L25" s="16">
        <v>690</v>
      </c>
      <c r="M25" s="16">
        <v>690</v>
      </c>
      <c r="N25" s="16">
        <v>690</v>
      </c>
      <c r="O25" s="17">
        <f>SUM(tblExpenseCategory_01[[#This Row],[1 月]:[12 月]])</f>
        <v>8280</v>
      </c>
      <c r="P25" s="17">
        <f>tblExpenseCategory_01[[#This Row],[年]]/12</f>
        <v>690</v>
      </c>
    </row>
    <row r="26" spans="2:16" ht="16.5" customHeight="1">
      <c r="B26" s="15" t="s">
        <v>50</v>
      </c>
      <c r="C26" s="16">
        <v>390</v>
      </c>
      <c r="D26" s="16">
        <v>390</v>
      </c>
      <c r="E26" s="16">
        <v>390</v>
      </c>
      <c r="F26" s="16">
        <v>390</v>
      </c>
      <c r="G26" s="16">
        <v>390</v>
      </c>
      <c r="H26" s="16">
        <v>390</v>
      </c>
      <c r="I26" s="16">
        <v>390</v>
      </c>
      <c r="J26" s="16">
        <v>390</v>
      </c>
      <c r="K26" s="16">
        <v>390</v>
      </c>
      <c r="L26" s="16">
        <v>390</v>
      </c>
      <c r="M26" s="16">
        <v>390</v>
      </c>
      <c r="N26" s="16">
        <v>390</v>
      </c>
      <c r="O26" s="17">
        <f>SUM(tblExpenseCategory_01[[#This Row],[1 月]:[12 月]])</f>
        <v>4680</v>
      </c>
      <c r="P26" s="17">
        <f>tblExpenseCategory_01[[#This Row],[年]]/12</f>
        <v>390</v>
      </c>
    </row>
    <row r="27" spans="2:16" ht="16.5" customHeight="1">
      <c r="B27" s="15" t="str">
        <f>UPPER(B21&amp;" 总额")</f>
        <v>住宅 总额</v>
      </c>
      <c r="C27" s="16">
        <f>SUM(tblExpenseCategory_01[1 月])</f>
        <v>12080</v>
      </c>
      <c r="D27" s="16">
        <f>SUM(tblExpenseCategory_01[2 月])</f>
        <v>12080</v>
      </c>
      <c r="E27" s="16">
        <f>SUM(tblExpenseCategory_01[3 月])</f>
        <v>12330</v>
      </c>
      <c r="F27" s="16">
        <f>SUM(tblExpenseCategory_01[4 月])</f>
        <v>12080</v>
      </c>
      <c r="G27" s="16">
        <f>SUM(tblExpenseCategory_01[5 月])</f>
        <v>11580</v>
      </c>
      <c r="H27" s="16">
        <f>SUM(tblExpenseCategory_01[6 月])</f>
        <v>11830</v>
      </c>
      <c r="I27" s="16">
        <f>SUM(tblExpenseCategory_01[7 月])</f>
        <v>12830</v>
      </c>
      <c r="J27" s="16">
        <f>SUM(tblExpenseCategory_01[8 月])</f>
        <v>13330</v>
      </c>
      <c r="K27" s="16">
        <f>SUM(tblExpenseCategory_01[9 月])</f>
        <v>12080</v>
      </c>
      <c r="L27" s="16">
        <f>SUM(tblExpenseCategory_01[10 月])</f>
        <v>11580</v>
      </c>
      <c r="M27" s="16">
        <f>SUM(tblExpenseCategory_01[11 月])</f>
        <v>12080</v>
      </c>
      <c r="N27" s="16">
        <f>SUM(tblExpenseCategory_01[12 月])</f>
        <v>12080</v>
      </c>
      <c r="O27" s="17">
        <f>SUM(tblExpenseCategory_01[年])</f>
        <v>145960</v>
      </c>
      <c r="P27" s="17">
        <f>tblExpenseCategory_01[[#Totals],[年]]/12</f>
        <v>12163.333333333334</v>
      </c>
    </row>
    <row r="28" spans="2:16" ht="16.5" customHeight="1"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19"/>
      <c r="P28" s="19"/>
    </row>
    <row r="29" spans="2:16" ht="16.5" customHeight="1" thickBot="1">
      <c r="B29" s="12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9"/>
      <c r="P29" s="19"/>
    </row>
    <row r="30" spans="2:16" ht="16.5" customHeight="1" thickTop="1">
      <c r="B30" s="20" t="s">
        <v>30</v>
      </c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2"/>
      <c r="P30" s="22"/>
    </row>
    <row r="31" spans="2:16" ht="16.5" customHeight="1">
      <c r="B31" s="15" t="s">
        <v>56</v>
      </c>
      <c r="C31" s="16">
        <v>3450</v>
      </c>
      <c r="D31" s="16">
        <v>2500</v>
      </c>
      <c r="E31" s="16">
        <v>2000</v>
      </c>
      <c r="F31" s="16">
        <v>4000</v>
      </c>
      <c r="G31" s="16">
        <v>3500</v>
      </c>
      <c r="H31" s="16">
        <v>2500</v>
      </c>
      <c r="I31" s="16">
        <v>4000</v>
      </c>
      <c r="J31" s="16">
        <v>3500</v>
      </c>
      <c r="K31" s="16">
        <v>2500</v>
      </c>
      <c r="L31" s="16">
        <v>4000</v>
      </c>
      <c r="M31" s="16">
        <v>3500</v>
      </c>
      <c r="N31" s="16">
        <v>2500</v>
      </c>
      <c r="O31" s="17">
        <f>SUM(tblExpenseCategory_02[[#This Row],[1 月]:[12 月]])</f>
        <v>37950</v>
      </c>
      <c r="P31" s="17">
        <f>tblExpenseCategory_02[[#This Row],[年]]/12</f>
        <v>3162.5</v>
      </c>
    </row>
    <row r="32" spans="2:16" ht="16.5" customHeight="1">
      <c r="B32" s="15" t="s">
        <v>58</v>
      </c>
      <c r="C32" s="16">
        <v>3000</v>
      </c>
      <c r="D32" s="16"/>
      <c r="E32" s="16"/>
      <c r="F32" s="16">
        <v>3000</v>
      </c>
      <c r="G32" s="16"/>
      <c r="H32" s="16"/>
      <c r="I32" s="16">
        <v>3000</v>
      </c>
      <c r="J32" s="16"/>
      <c r="K32" s="16"/>
      <c r="L32" s="16">
        <v>3000</v>
      </c>
      <c r="M32" s="16"/>
      <c r="N32" s="16"/>
      <c r="O32" s="17">
        <f>SUM(tblExpenseCategory_02[[#This Row],[1 月]:[12 月]])</f>
        <v>12000</v>
      </c>
      <c r="P32" s="17">
        <f>tblExpenseCategory_02[[#This Row],[年]]/12</f>
        <v>1000</v>
      </c>
    </row>
    <row r="33" spans="2:16" ht="16.5" customHeight="1">
      <c r="B33" s="15" t="s">
        <v>60</v>
      </c>
      <c r="C33" s="16">
        <v>1250</v>
      </c>
      <c r="D33" s="16">
        <v>1250</v>
      </c>
      <c r="E33" s="16">
        <v>3000</v>
      </c>
      <c r="F33" s="16">
        <v>1250</v>
      </c>
      <c r="G33" s="16">
        <v>1250</v>
      </c>
      <c r="H33" s="16">
        <v>2000</v>
      </c>
      <c r="I33" s="16">
        <v>1250</v>
      </c>
      <c r="J33" s="16">
        <v>1250</v>
      </c>
      <c r="K33" s="16">
        <v>1250</v>
      </c>
      <c r="L33" s="16">
        <v>1250</v>
      </c>
      <c r="M33" s="16">
        <v>1250</v>
      </c>
      <c r="N33" s="16">
        <v>1250</v>
      </c>
      <c r="O33" s="17">
        <f>SUM(tblExpenseCategory_02[[#This Row],[1 月]:[12 月]])</f>
        <v>17500</v>
      </c>
      <c r="P33" s="17">
        <f>tblExpenseCategory_02[[#This Row],[年]]/12</f>
        <v>1458.3333333333333</v>
      </c>
    </row>
    <row r="34" spans="2:16" ht="16.5" customHeight="1">
      <c r="B34" s="15" t="s">
        <v>62</v>
      </c>
      <c r="C34" s="16">
        <v>250</v>
      </c>
      <c r="D34" s="16"/>
      <c r="E34" s="16">
        <v>500</v>
      </c>
      <c r="F34" s="16"/>
      <c r="G34" s="16">
        <v>250</v>
      </c>
      <c r="H34" s="16"/>
      <c r="I34" s="16">
        <v>500</v>
      </c>
      <c r="J34" s="16"/>
      <c r="K34" s="16">
        <v>250</v>
      </c>
      <c r="L34" s="16"/>
      <c r="M34" s="16">
        <v>1000</v>
      </c>
      <c r="N34" s="16"/>
      <c r="O34" s="17">
        <f>SUM(tblExpenseCategory_02[[#This Row],[1 月]:[12 月]])</f>
        <v>2750</v>
      </c>
      <c r="P34" s="17">
        <f>tblExpenseCategory_02[[#This Row],[年]]/12</f>
        <v>229.16666666666666</v>
      </c>
    </row>
    <row r="35" spans="2:16" ht="16.5" customHeight="1">
      <c r="B35" s="15" t="s">
        <v>27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7">
        <f>SUM(tblExpenseCategory_02[[#This Row],[1 月]:[12 月]])</f>
        <v>0</v>
      </c>
      <c r="P35" s="17">
        <f>tblExpenseCategory_02[[#This Row],[年]]/12</f>
        <v>0</v>
      </c>
    </row>
    <row r="36" spans="2:16" ht="16.5" customHeight="1">
      <c r="B36" s="15" t="str">
        <f>UPPER(B30&amp;" 总额")</f>
        <v>日常生活 总额</v>
      </c>
      <c r="C36" s="16">
        <f>SUM(tblExpenseCategory_02[1 月])</f>
        <v>7950</v>
      </c>
      <c r="D36" s="16">
        <f>SUM(tblExpenseCategory_02[2 月])</f>
        <v>3750</v>
      </c>
      <c r="E36" s="16">
        <f>SUM(tblExpenseCategory_02[3 月])</f>
        <v>5500</v>
      </c>
      <c r="F36" s="16">
        <f>SUM(tblExpenseCategory_02[4 月])</f>
        <v>8250</v>
      </c>
      <c r="G36" s="16">
        <f>SUM(tblExpenseCategory_02[5 月])</f>
        <v>5000</v>
      </c>
      <c r="H36" s="16">
        <f>SUM(tblExpenseCategory_02[6 月])</f>
        <v>4500</v>
      </c>
      <c r="I36" s="16">
        <f>SUM(tblExpenseCategory_02[7 月])</f>
        <v>8750</v>
      </c>
      <c r="J36" s="16">
        <f>SUM(tblExpenseCategory_02[8 月])</f>
        <v>4750</v>
      </c>
      <c r="K36" s="16">
        <f>SUM(tblExpenseCategory_02[9 月])</f>
        <v>4000</v>
      </c>
      <c r="L36" s="16">
        <f>SUM(tblExpenseCategory_02[10 月])</f>
        <v>8250</v>
      </c>
      <c r="M36" s="16">
        <f>SUM(tblExpenseCategory_02[11 月])</f>
        <v>5750</v>
      </c>
      <c r="N36" s="16">
        <f>SUM(tblExpenseCategory_02[12 月])</f>
        <v>3750</v>
      </c>
      <c r="O36" s="17">
        <f>SUM(tblExpenseCategory_02[年])</f>
        <v>70200</v>
      </c>
      <c r="P36" s="17">
        <f>tblExpenseCategory_02[[#Totals],[年]]/12</f>
        <v>5850</v>
      </c>
    </row>
    <row r="37" spans="2:16" ht="16.5" customHeight="1"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19"/>
      <c r="P37" s="19"/>
    </row>
    <row r="38" spans="2:16" ht="16.5" customHeight="1" thickBot="1">
      <c r="B38" s="12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9"/>
      <c r="P38" s="19"/>
    </row>
    <row r="39" spans="2:16" ht="16.5" customHeight="1" thickTop="1">
      <c r="B39" s="20" t="s">
        <v>31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2"/>
      <c r="P39" s="22"/>
    </row>
    <row r="40" spans="2:16" ht="16.5" customHeight="1">
      <c r="B40" s="15" t="s">
        <v>66</v>
      </c>
      <c r="C40" s="16">
        <v>1230</v>
      </c>
      <c r="D40" s="16"/>
      <c r="E40" s="16">
        <v>1000</v>
      </c>
      <c r="F40" s="16"/>
      <c r="G40" s="16"/>
      <c r="H40" s="16"/>
      <c r="I40" s="16"/>
      <c r="J40" s="16">
        <v>3450</v>
      </c>
      <c r="K40" s="16"/>
      <c r="L40" s="16"/>
      <c r="M40" s="16"/>
      <c r="N40" s="16"/>
      <c r="O40" s="17">
        <f>SUM(tblExpenseCategory_03[[#This Row],[1 月]:[12 月]])</f>
        <v>5680</v>
      </c>
      <c r="P40" s="17">
        <f>tblExpenseCategory_03[[#This Row],[年]]/12</f>
        <v>473.33333333333331</v>
      </c>
    </row>
    <row r="41" spans="2:16" ht="16.5" customHeight="1">
      <c r="B41" s="15" t="s">
        <v>58</v>
      </c>
      <c r="C41" s="16"/>
      <c r="D41" s="16">
        <v>1000</v>
      </c>
      <c r="E41" s="16"/>
      <c r="F41" s="16"/>
      <c r="G41" s="16">
        <v>1000</v>
      </c>
      <c r="H41" s="16"/>
      <c r="I41" s="16"/>
      <c r="J41" s="16"/>
      <c r="K41" s="16">
        <v>1000</v>
      </c>
      <c r="L41" s="16"/>
      <c r="M41" s="16"/>
      <c r="N41" s="16">
        <v>1000</v>
      </c>
      <c r="O41" s="17">
        <f>SUM(tblExpenseCategory_03[[#This Row],[1 月]:[12 月]])</f>
        <v>4000</v>
      </c>
      <c r="P41" s="17">
        <f>tblExpenseCategory_03[[#This Row],[年]]/12</f>
        <v>333.33333333333331</v>
      </c>
    </row>
    <row r="42" spans="2:16" ht="16.5" customHeight="1">
      <c r="B42" s="15" t="s">
        <v>65</v>
      </c>
      <c r="C42" s="16">
        <v>500</v>
      </c>
      <c r="D42" s="16">
        <v>500</v>
      </c>
      <c r="E42" s="16">
        <v>500</v>
      </c>
      <c r="F42" s="16">
        <v>500</v>
      </c>
      <c r="G42" s="16">
        <v>500</v>
      </c>
      <c r="H42" s="16">
        <v>500</v>
      </c>
      <c r="I42" s="16"/>
      <c r="J42" s="16"/>
      <c r="K42" s="16">
        <v>500</v>
      </c>
      <c r="L42" s="16">
        <v>500</v>
      </c>
      <c r="M42" s="16">
        <v>500</v>
      </c>
      <c r="N42" s="16">
        <v>500</v>
      </c>
      <c r="O42" s="17">
        <f>SUM(tblExpenseCategory_03[[#This Row],[1 月]:[12 月]])</f>
        <v>5000</v>
      </c>
      <c r="P42" s="17">
        <f>tblExpenseCategory_03[[#This Row],[年]]/12</f>
        <v>416.66666666666669</v>
      </c>
    </row>
    <row r="43" spans="2:16" ht="16.5" customHeight="1">
      <c r="B43" s="15" t="s">
        <v>63</v>
      </c>
      <c r="C43" s="16">
        <v>2000</v>
      </c>
      <c r="D43" s="16">
        <v>2000</v>
      </c>
      <c r="E43" s="16">
        <v>2000</v>
      </c>
      <c r="F43" s="16">
        <v>2000</v>
      </c>
      <c r="G43" s="16">
        <v>2000</v>
      </c>
      <c r="H43" s="16">
        <v>2000</v>
      </c>
      <c r="I43" s="16">
        <v>2000</v>
      </c>
      <c r="J43" s="16">
        <v>2000</v>
      </c>
      <c r="K43" s="16">
        <v>2000</v>
      </c>
      <c r="L43" s="16">
        <v>2000</v>
      </c>
      <c r="M43" s="16">
        <v>2000</v>
      </c>
      <c r="N43" s="16">
        <v>2000</v>
      </c>
      <c r="O43" s="17">
        <f>SUM(tblExpenseCategory_03[[#This Row],[1 月]:[12 月]])</f>
        <v>24000</v>
      </c>
      <c r="P43" s="17">
        <f>tblExpenseCategory_03[[#This Row],[年]]/12</f>
        <v>2000</v>
      </c>
    </row>
    <row r="44" spans="2:16" ht="16.5" customHeight="1">
      <c r="B44" s="15" t="s">
        <v>27</v>
      </c>
      <c r="C44" s="16">
        <v>20000</v>
      </c>
      <c r="D44" s="16">
        <v>1500</v>
      </c>
      <c r="E44" s="16"/>
      <c r="F44" s="16"/>
      <c r="G44" s="16"/>
      <c r="H44" s="16">
        <v>2000</v>
      </c>
      <c r="I44" s="16"/>
      <c r="J44" s="16"/>
      <c r="K44" s="16"/>
      <c r="L44" s="16">
        <v>1000</v>
      </c>
      <c r="M44" s="16"/>
      <c r="N44" s="16"/>
      <c r="O44" s="17">
        <f>SUM(tblExpenseCategory_03[[#This Row],[1 月]:[12 月]])</f>
        <v>24500</v>
      </c>
      <c r="P44" s="17">
        <f>tblExpenseCategory_03[[#This Row],[年]]/12</f>
        <v>2041.6666666666667</v>
      </c>
    </row>
    <row r="45" spans="2:16" ht="16.5" customHeight="1">
      <c r="B45" s="15" t="str">
        <f>UPPER(B39&amp;" 总额")</f>
        <v>孩子 总额</v>
      </c>
      <c r="C45" s="16">
        <f>SUM(tblExpenseCategory_03[1 月])</f>
        <v>23730</v>
      </c>
      <c r="D45" s="16">
        <f>SUM(tblExpenseCategory_03[2 月])</f>
        <v>5000</v>
      </c>
      <c r="E45" s="16">
        <f>SUM(tblExpenseCategory_03[3 月])</f>
        <v>3500</v>
      </c>
      <c r="F45" s="16">
        <f>SUM(tblExpenseCategory_03[4 月])</f>
        <v>2500</v>
      </c>
      <c r="G45" s="16">
        <f>SUM(tblExpenseCategory_03[5 月])</f>
        <v>3500</v>
      </c>
      <c r="H45" s="16">
        <f>SUM(tblExpenseCategory_03[6 月])</f>
        <v>4500</v>
      </c>
      <c r="I45" s="16">
        <f>SUM(tblExpenseCategory_03[7 月])</f>
        <v>2000</v>
      </c>
      <c r="J45" s="16">
        <f>SUM(tblExpenseCategory_03[8 月])</f>
        <v>5450</v>
      </c>
      <c r="K45" s="16">
        <f>SUM(tblExpenseCategory_03[9 月])</f>
        <v>3500</v>
      </c>
      <c r="L45" s="16">
        <f>SUM(tblExpenseCategory_03[10 月])</f>
        <v>3500</v>
      </c>
      <c r="M45" s="16">
        <f>SUM(tblExpenseCategory_03[11 月])</f>
        <v>2500</v>
      </c>
      <c r="N45" s="16">
        <f>SUM(tblExpenseCategory_03[12 月])</f>
        <v>3500</v>
      </c>
      <c r="O45" s="17">
        <f>SUM(tblExpenseCategory_03[年])</f>
        <v>63180</v>
      </c>
      <c r="P45" s="17">
        <f>tblExpenseCategory_03[[#Totals],[年]]/12</f>
        <v>5265</v>
      </c>
    </row>
    <row r="46" spans="2:16" ht="16.5" customHeight="1"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23"/>
      <c r="P46" s="23"/>
    </row>
    <row r="47" spans="2:16" ht="16.5" customHeight="1" thickBot="1">
      <c r="B47" s="12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3"/>
      <c r="P47" s="23"/>
    </row>
    <row r="48" spans="2:16" ht="16.5" customHeight="1" thickTop="1">
      <c r="B48" s="20" t="s">
        <v>32</v>
      </c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6"/>
      <c r="P48" s="26"/>
    </row>
    <row r="49" spans="2:16" ht="16.5" customHeight="1">
      <c r="B49" s="15" t="s">
        <v>69</v>
      </c>
      <c r="C49" s="16">
        <v>6000</v>
      </c>
      <c r="D49" s="16">
        <v>6000</v>
      </c>
      <c r="E49" s="16">
        <v>6000</v>
      </c>
      <c r="F49" s="16">
        <v>6000</v>
      </c>
      <c r="G49" s="16">
        <v>6000</v>
      </c>
      <c r="H49" s="16">
        <v>6000</v>
      </c>
      <c r="I49" s="16">
        <v>6000</v>
      </c>
      <c r="J49" s="16">
        <v>6000</v>
      </c>
      <c r="K49" s="16">
        <v>6000</v>
      </c>
      <c r="L49" s="16">
        <v>6000</v>
      </c>
      <c r="M49" s="16">
        <v>6000</v>
      </c>
      <c r="N49" s="16">
        <v>6000</v>
      </c>
      <c r="O49" s="17">
        <f>SUM(tblExpenseCategory_04[[#This Row],[1 月]:[12 月]])</f>
        <v>72000</v>
      </c>
      <c r="P49" s="17">
        <f>tblExpenseCategory_04[[#This Row],[年]]/12</f>
        <v>6000</v>
      </c>
    </row>
    <row r="50" spans="2:16" ht="16.5" customHeight="1">
      <c r="B50" s="15" t="s">
        <v>131</v>
      </c>
      <c r="C50" s="16">
        <v>3250</v>
      </c>
      <c r="D50" s="16">
        <v>3250</v>
      </c>
      <c r="E50" s="16">
        <v>3250</v>
      </c>
      <c r="F50" s="16">
        <v>3250</v>
      </c>
      <c r="G50" s="16">
        <v>3250</v>
      </c>
      <c r="H50" s="16">
        <v>5000</v>
      </c>
      <c r="I50" s="16">
        <v>5000</v>
      </c>
      <c r="J50" s="16">
        <v>5000</v>
      </c>
      <c r="K50" s="16">
        <v>3250</v>
      </c>
      <c r="L50" s="16">
        <v>3250</v>
      </c>
      <c r="M50" s="16">
        <v>3250</v>
      </c>
      <c r="N50" s="16">
        <v>3250</v>
      </c>
      <c r="O50" s="17">
        <f>SUM(tblExpenseCategory_04[[#This Row],[1 月]:[12 月]])</f>
        <v>44250</v>
      </c>
      <c r="P50" s="17">
        <f>tblExpenseCategory_04[[#This Row],[年]]/12</f>
        <v>3687.5</v>
      </c>
    </row>
    <row r="51" spans="2:16" ht="16.5" customHeight="1">
      <c r="B51" s="15" t="s">
        <v>77</v>
      </c>
      <c r="C51" s="16"/>
      <c r="D51" s="16">
        <v>1000</v>
      </c>
      <c r="E51" s="16"/>
      <c r="F51" s="16">
        <v>1000</v>
      </c>
      <c r="G51" s="16"/>
      <c r="H51" s="16">
        <v>1000</v>
      </c>
      <c r="I51" s="16"/>
      <c r="J51" s="16">
        <v>1000</v>
      </c>
      <c r="K51" s="16"/>
      <c r="L51" s="16">
        <v>1000</v>
      </c>
      <c r="M51" s="16"/>
      <c r="N51" s="16"/>
      <c r="O51" s="17">
        <f>SUM(tblExpenseCategory_04[[#This Row],[1 月]:[12 月]])</f>
        <v>5000</v>
      </c>
      <c r="P51" s="17">
        <f>tblExpenseCategory_04[[#This Row],[年]]/12</f>
        <v>416.66666666666669</v>
      </c>
    </row>
    <row r="52" spans="2:16" ht="16.5" customHeight="1">
      <c r="B52" s="15" t="s">
        <v>80</v>
      </c>
      <c r="C52" s="16">
        <v>1850</v>
      </c>
      <c r="D52" s="16"/>
      <c r="E52" s="16"/>
      <c r="F52" s="16"/>
      <c r="G52" s="16"/>
      <c r="H52" s="16"/>
      <c r="I52" s="16"/>
      <c r="J52" s="16"/>
      <c r="K52" s="16">
        <v>2250</v>
      </c>
      <c r="L52" s="16"/>
      <c r="M52" s="16"/>
      <c r="N52" s="16"/>
      <c r="O52" s="17">
        <f>SUM(tblExpenseCategory_04[[#This Row],[1 月]:[12 月]])</f>
        <v>4100</v>
      </c>
      <c r="P52" s="17">
        <f>tblExpenseCategory_04[[#This Row],[年]]/12</f>
        <v>341.66666666666669</v>
      </c>
    </row>
    <row r="53" spans="2:16" ht="16.5" customHeight="1">
      <c r="B53" s="15" t="s">
        <v>27</v>
      </c>
      <c r="C53" s="16"/>
      <c r="D53" s="16"/>
      <c r="E53" s="16"/>
      <c r="F53" s="16"/>
      <c r="G53" s="16">
        <v>4000</v>
      </c>
      <c r="H53" s="16"/>
      <c r="I53" s="16"/>
      <c r="J53" s="16"/>
      <c r="K53" s="16"/>
      <c r="L53" s="16"/>
      <c r="M53" s="16"/>
      <c r="N53" s="16"/>
      <c r="O53" s="17">
        <f>SUM(tblExpenseCategory_04[[#This Row],[1 月]:[12 月]])</f>
        <v>4000</v>
      </c>
      <c r="P53" s="17">
        <f>tblExpenseCategory_04[[#This Row],[年]]/12</f>
        <v>333.33333333333331</v>
      </c>
    </row>
    <row r="54" spans="2:16" ht="16.5" customHeight="1">
      <c r="B54" s="15" t="str">
        <f>UPPER(B48&amp;" 总额")</f>
        <v>交通 总额</v>
      </c>
      <c r="C54" s="16">
        <f>SUM(tblExpenseCategory_04[1 月])</f>
        <v>11100</v>
      </c>
      <c r="D54" s="16">
        <f>SUM(tblExpenseCategory_04[2 月])</f>
        <v>10250</v>
      </c>
      <c r="E54" s="16">
        <f>SUM(tblExpenseCategory_04[3 月])</f>
        <v>9250</v>
      </c>
      <c r="F54" s="16">
        <f>SUM(tblExpenseCategory_04[4 月])</f>
        <v>10250</v>
      </c>
      <c r="G54" s="16">
        <f>SUM(tblExpenseCategory_04[5 月])</f>
        <v>13250</v>
      </c>
      <c r="H54" s="16">
        <f>SUM(tblExpenseCategory_04[6 月])</f>
        <v>12000</v>
      </c>
      <c r="I54" s="16">
        <f>SUM(tblExpenseCategory_04[7 月])</f>
        <v>11000</v>
      </c>
      <c r="J54" s="16">
        <f>SUM(tblExpenseCategory_04[8 月])</f>
        <v>12000</v>
      </c>
      <c r="K54" s="16">
        <f>SUM(tblExpenseCategory_04[9 月])</f>
        <v>11500</v>
      </c>
      <c r="L54" s="16">
        <f>SUM(tblExpenseCategory_04[10 月])</f>
        <v>10250</v>
      </c>
      <c r="M54" s="16">
        <f>SUM(tblExpenseCategory_04[11 月])</f>
        <v>9250</v>
      </c>
      <c r="N54" s="16">
        <f>SUM(tblExpenseCategory_04[12 月])</f>
        <v>9250</v>
      </c>
      <c r="O54" s="17">
        <f>SUM(tblExpenseCategory_04[年])</f>
        <v>129350</v>
      </c>
      <c r="P54" s="17">
        <f>tblExpenseCategory_04[[#Totals],[年]]/12</f>
        <v>10779.166666666666</v>
      </c>
    </row>
    <row r="55" spans="2:16" ht="16.5" customHeight="1"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23"/>
      <c r="P55" s="23"/>
    </row>
    <row r="56" spans="2:16" ht="16.5" customHeight="1" thickBot="1">
      <c r="B56" s="12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3"/>
      <c r="P56" s="23"/>
    </row>
    <row r="57" spans="2:16" ht="16.5" customHeight="1" thickTop="1">
      <c r="B57" s="20" t="s">
        <v>33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6"/>
      <c r="P57" s="26"/>
    </row>
    <row r="58" spans="2:16" ht="16.5" customHeight="1">
      <c r="B58" s="15" t="s">
        <v>70</v>
      </c>
      <c r="C58" s="16"/>
      <c r="D58" s="16">
        <v>350</v>
      </c>
      <c r="E58" s="16"/>
      <c r="F58" s="16"/>
      <c r="G58" s="16">
        <v>350</v>
      </c>
      <c r="H58" s="16">
        <v>350</v>
      </c>
      <c r="I58" s="16">
        <v>350</v>
      </c>
      <c r="J58" s="16"/>
      <c r="K58" s="16"/>
      <c r="L58" s="16">
        <v>350</v>
      </c>
      <c r="M58" s="16"/>
      <c r="N58" s="16"/>
      <c r="O58" s="17">
        <f>SUM(tblExpenseCategory_05[[#This Row],[1 月]:[12 月]])</f>
        <v>1750</v>
      </c>
      <c r="P58" s="17">
        <f>tblExpenseCategory_05[[#This Row],[年]]/12</f>
        <v>145.83333333333334</v>
      </c>
    </row>
    <row r="59" spans="2:16" ht="16.5" customHeight="1">
      <c r="B59" s="15" t="s">
        <v>73</v>
      </c>
      <c r="C59" s="16">
        <v>250</v>
      </c>
      <c r="D59" s="16">
        <v>250</v>
      </c>
      <c r="E59" s="16">
        <v>250</v>
      </c>
      <c r="F59" s="16">
        <v>250</v>
      </c>
      <c r="G59" s="16">
        <v>250</v>
      </c>
      <c r="H59" s="16">
        <v>250</v>
      </c>
      <c r="I59" s="16">
        <v>250</v>
      </c>
      <c r="J59" s="16">
        <v>250</v>
      </c>
      <c r="K59" s="16">
        <v>250</v>
      </c>
      <c r="L59" s="16">
        <v>250</v>
      </c>
      <c r="M59" s="16">
        <v>250</v>
      </c>
      <c r="N59" s="16">
        <v>250</v>
      </c>
      <c r="O59" s="17">
        <f>SUM(tblExpenseCategory_05[[#This Row],[1 月]:[12 月]])</f>
        <v>3000</v>
      </c>
      <c r="P59" s="17">
        <f>tblExpenseCategory_05[[#This Row],[年]]/12</f>
        <v>250</v>
      </c>
    </row>
    <row r="60" spans="2:16" ht="16.5" customHeight="1">
      <c r="B60" s="15" t="s">
        <v>27</v>
      </c>
      <c r="C60" s="16"/>
      <c r="D60" s="16"/>
      <c r="E60" s="16">
        <v>1500</v>
      </c>
      <c r="F60" s="16"/>
      <c r="G60" s="16"/>
      <c r="H60" s="16"/>
      <c r="I60" s="16"/>
      <c r="J60" s="16"/>
      <c r="K60" s="16">
        <v>1500</v>
      </c>
      <c r="L60" s="16"/>
      <c r="M60" s="16"/>
      <c r="N60" s="16"/>
      <c r="O60" s="17">
        <f>SUM(tblExpenseCategory_05[[#This Row],[1 月]:[12 月]])</f>
        <v>3000</v>
      </c>
      <c r="P60" s="17">
        <f>tblExpenseCategory_05[[#This Row],[年]]/12</f>
        <v>250</v>
      </c>
    </row>
    <row r="61" spans="2:16" ht="16.5" customHeight="1">
      <c r="B61" s="15" t="str">
        <f>UPPER(B57&amp;" 总额")</f>
        <v>健康 总额</v>
      </c>
      <c r="C61" s="16">
        <f>SUM(tblExpenseCategory_05[1 月])</f>
        <v>250</v>
      </c>
      <c r="D61" s="16">
        <f>SUM(tblExpenseCategory_05[2 月])</f>
        <v>600</v>
      </c>
      <c r="E61" s="16">
        <f>SUM(tblExpenseCategory_05[3 月])</f>
        <v>1750</v>
      </c>
      <c r="F61" s="16">
        <f>SUM(tblExpenseCategory_05[4 月])</f>
        <v>250</v>
      </c>
      <c r="G61" s="16">
        <f>SUM(tblExpenseCategory_05[5 月])</f>
        <v>600</v>
      </c>
      <c r="H61" s="16">
        <f>SUM(tblExpenseCategory_05[6 月])</f>
        <v>600</v>
      </c>
      <c r="I61" s="16">
        <f>SUM(tblExpenseCategory_05[7 月])</f>
        <v>600</v>
      </c>
      <c r="J61" s="16">
        <f>SUM(tblExpenseCategory_05[8 月])</f>
        <v>250</v>
      </c>
      <c r="K61" s="16">
        <f>SUM(tblExpenseCategory_05[9 月])</f>
        <v>1750</v>
      </c>
      <c r="L61" s="16">
        <f>SUM(tblExpenseCategory_05[10 月])</f>
        <v>600</v>
      </c>
      <c r="M61" s="16">
        <f>SUM(tblExpenseCategory_05[11 月])</f>
        <v>250</v>
      </c>
      <c r="N61" s="16">
        <f>SUM(tblExpenseCategory_05[12 月])</f>
        <v>250</v>
      </c>
      <c r="O61" s="17">
        <f>SUM(tblExpenseCategory_05[年])</f>
        <v>7750</v>
      </c>
      <c r="P61" s="17">
        <f>tblExpenseCategory_05[[#Totals],[年]]/12</f>
        <v>645.83333333333337</v>
      </c>
    </row>
    <row r="62" spans="2:16" ht="16.5" customHeight="1"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23"/>
      <c r="P62" s="23"/>
    </row>
    <row r="63" spans="2:16" ht="16.5" customHeight="1" thickBot="1">
      <c r="B63" s="12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3"/>
      <c r="P63" s="23"/>
    </row>
    <row r="64" spans="2:16" ht="16.5" customHeight="1" thickTop="1">
      <c r="B64" s="20" t="s">
        <v>34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6"/>
      <c r="P64" s="26"/>
    </row>
    <row r="65" spans="2:16" ht="16.5" customHeight="1">
      <c r="B65" s="15" t="s">
        <v>71</v>
      </c>
      <c r="C65" s="16">
        <v>1500</v>
      </c>
      <c r="D65" s="16">
        <v>1500</v>
      </c>
      <c r="E65" s="16">
        <v>1500</v>
      </c>
      <c r="F65" s="16">
        <v>1500</v>
      </c>
      <c r="G65" s="16">
        <v>1500</v>
      </c>
      <c r="H65" s="16">
        <v>1500</v>
      </c>
      <c r="I65" s="16">
        <v>1500</v>
      </c>
      <c r="J65" s="16">
        <v>1500</v>
      </c>
      <c r="K65" s="16">
        <v>1500</v>
      </c>
      <c r="L65" s="16">
        <v>1500</v>
      </c>
      <c r="M65" s="16">
        <v>1500</v>
      </c>
      <c r="N65" s="16">
        <v>1500</v>
      </c>
      <c r="O65" s="17">
        <f>SUM(tblExpenseCategory_06[[#This Row],[1 月]:[12 月]])</f>
        <v>18000</v>
      </c>
      <c r="P65" s="17">
        <f>tblExpenseCategory_06[[#This Row],[年]]/12</f>
        <v>1500</v>
      </c>
    </row>
    <row r="66" spans="2:16" ht="16.5" customHeight="1">
      <c r="B66" s="15" t="s">
        <v>33</v>
      </c>
      <c r="C66" s="16">
        <v>6750</v>
      </c>
      <c r="D66" s="16">
        <v>6750</v>
      </c>
      <c r="E66" s="16">
        <v>6750</v>
      </c>
      <c r="F66" s="16">
        <v>6750</v>
      </c>
      <c r="G66" s="16">
        <v>6750</v>
      </c>
      <c r="H66" s="16">
        <v>6750</v>
      </c>
      <c r="I66" s="16">
        <v>6750</v>
      </c>
      <c r="J66" s="16">
        <v>6750</v>
      </c>
      <c r="K66" s="16">
        <v>6750</v>
      </c>
      <c r="L66" s="16">
        <v>6750</v>
      </c>
      <c r="M66" s="16">
        <v>6750</v>
      </c>
      <c r="N66" s="16">
        <v>6750</v>
      </c>
      <c r="O66" s="17">
        <f>SUM(tblExpenseCategory_06[[#This Row],[1 月]:[12 月]])</f>
        <v>81000</v>
      </c>
      <c r="P66" s="17">
        <f>tblExpenseCategory_06[[#This Row],[年]]/12</f>
        <v>6750</v>
      </c>
    </row>
    <row r="67" spans="2:16" ht="16.5" customHeight="1">
      <c r="B67" s="15" t="s">
        <v>79</v>
      </c>
      <c r="C67" s="16">
        <v>1500</v>
      </c>
      <c r="D67" s="16">
        <v>1500</v>
      </c>
      <c r="E67" s="16">
        <v>1500</v>
      </c>
      <c r="F67" s="16">
        <v>1500</v>
      </c>
      <c r="G67" s="16">
        <v>1500</v>
      </c>
      <c r="H67" s="16">
        <v>1500</v>
      </c>
      <c r="I67" s="16">
        <v>1500</v>
      </c>
      <c r="J67" s="16">
        <v>1500</v>
      </c>
      <c r="K67" s="16">
        <v>1500</v>
      </c>
      <c r="L67" s="16">
        <v>1500</v>
      </c>
      <c r="M67" s="16">
        <v>1500</v>
      </c>
      <c r="N67" s="16">
        <v>1500</v>
      </c>
      <c r="O67" s="17">
        <f>SUM(tblExpenseCategory_06[[#This Row],[1 月]:[12 月]])</f>
        <v>18000</v>
      </c>
      <c r="P67" s="17">
        <f>tblExpenseCategory_06[[#This Row],[年]]/12</f>
        <v>1500</v>
      </c>
    </row>
    <row r="68" spans="2:16" ht="16.5" customHeight="1">
      <c r="B68" s="15" t="str">
        <f>UPPER(B64&amp;" 总额")</f>
        <v>保险 总额</v>
      </c>
      <c r="C68" s="16">
        <f>SUM(tblExpenseCategory_06[1 月])</f>
        <v>9750</v>
      </c>
      <c r="D68" s="16">
        <f>SUM(tblExpenseCategory_06[2 月])</f>
        <v>9750</v>
      </c>
      <c r="E68" s="16">
        <f>SUM(tblExpenseCategory_06[3 月])</f>
        <v>9750</v>
      </c>
      <c r="F68" s="16">
        <f>SUM(tblExpenseCategory_06[4 月])</f>
        <v>9750</v>
      </c>
      <c r="G68" s="16">
        <f>SUM(tblExpenseCategory_06[5 月])</f>
        <v>9750</v>
      </c>
      <c r="H68" s="16">
        <f>SUM(tblExpenseCategory_06[6 月])</f>
        <v>9750</v>
      </c>
      <c r="I68" s="16">
        <f>SUM(tblExpenseCategory_06[7 月])</f>
        <v>9750</v>
      </c>
      <c r="J68" s="16">
        <f>SUM(tblExpenseCategory_06[8 月])</f>
        <v>9750</v>
      </c>
      <c r="K68" s="16">
        <f>SUM(tblExpenseCategory_06[9 月])</f>
        <v>9750</v>
      </c>
      <c r="L68" s="16">
        <f>SUM(tblExpenseCategory_06[10 月])</f>
        <v>9750</v>
      </c>
      <c r="M68" s="16">
        <f>SUM(tblExpenseCategory_06[11 月])</f>
        <v>9750</v>
      </c>
      <c r="N68" s="16">
        <f>SUM(tblExpenseCategory_06[12 月])</f>
        <v>9750</v>
      </c>
      <c r="O68" s="17">
        <f>SUM(tblExpenseCategory_06[年])</f>
        <v>117000</v>
      </c>
      <c r="P68" s="17">
        <f>tblExpenseCategory_06[[#Totals],[年]]/12</f>
        <v>9750</v>
      </c>
    </row>
    <row r="69" spans="2:16" ht="16.5" customHeight="1"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23"/>
      <c r="P69" s="23"/>
    </row>
    <row r="70" spans="2:16" ht="16.5" customHeight="1" thickBot="1">
      <c r="B70" s="12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3"/>
      <c r="P70" s="23"/>
    </row>
    <row r="71" spans="2:16" ht="16.5" customHeight="1" thickTop="1">
      <c r="B71" s="20" t="s">
        <v>35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6"/>
      <c r="P71" s="26"/>
    </row>
    <row r="72" spans="2:16" ht="16.5" customHeight="1">
      <c r="B72" s="15" t="s">
        <v>64</v>
      </c>
      <c r="C72" s="16"/>
      <c r="D72" s="16"/>
      <c r="E72" s="16">
        <v>4000</v>
      </c>
      <c r="F72" s="16"/>
      <c r="G72" s="16"/>
      <c r="H72" s="16"/>
      <c r="I72" s="16"/>
      <c r="J72" s="16"/>
      <c r="K72" s="16">
        <v>4000</v>
      </c>
      <c r="L72" s="16"/>
      <c r="M72" s="16"/>
      <c r="N72" s="16"/>
      <c r="O72" s="17">
        <f>SUM(tblExpenseCategory_07[[#This Row],[1 月]:[12 月]])</f>
        <v>8000</v>
      </c>
      <c r="P72" s="17">
        <f>tblExpenseCategory_07[[#This Row],[年]]/12</f>
        <v>666.66666666666663</v>
      </c>
    </row>
    <row r="73" spans="2:16" ht="16.5" customHeight="1">
      <c r="B73" s="15" t="s">
        <v>81</v>
      </c>
      <c r="C73" s="16"/>
      <c r="D73" s="16"/>
      <c r="E73" s="16">
        <v>2250</v>
      </c>
      <c r="F73" s="16"/>
      <c r="G73" s="16"/>
      <c r="H73" s="16"/>
      <c r="I73" s="16"/>
      <c r="J73" s="16"/>
      <c r="K73" s="16">
        <v>2250</v>
      </c>
      <c r="L73" s="16"/>
      <c r="M73" s="16"/>
      <c r="N73" s="16"/>
      <c r="O73" s="17">
        <f>SUM(tblExpenseCategory_07[[#This Row],[1 月]:[12 月]])</f>
        <v>4500</v>
      </c>
      <c r="P73" s="17">
        <f>tblExpenseCategory_07[[#This Row],[年]]/12</f>
        <v>375</v>
      </c>
    </row>
    <row r="74" spans="2:16" ht="16.5" customHeight="1">
      <c r="B74" s="15" t="s">
        <v>27</v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7">
        <f>SUM(tblExpenseCategory_07[[#This Row],[1 月]:[12 月]])</f>
        <v>0</v>
      </c>
      <c r="P74" s="17">
        <f>tblExpenseCategory_07[[#This Row],[年]]/12</f>
        <v>0</v>
      </c>
    </row>
    <row r="75" spans="2:16" ht="16.5" customHeight="1">
      <c r="B75" s="15" t="str">
        <f>UPPER(B71&amp;" 总额")</f>
        <v>教育 总额</v>
      </c>
      <c r="C75" s="16">
        <f>SUM(tblExpenseCategory_07[1 月])</f>
        <v>0</v>
      </c>
      <c r="D75" s="16">
        <f>SUM(tblExpenseCategory_07[2 月])</f>
        <v>0</v>
      </c>
      <c r="E75" s="16">
        <f>SUM(tblExpenseCategory_07[3 月])</f>
        <v>6250</v>
      </c>
      <c r="F75" s="16">
        <f>SUM(tblExpenseCategory_07[4 月])</f>
        <v>0</v>
      </c>
      <c r="G75" s="16">
        <f>SUM(tblExpenseCategory_07[5 月])</f>
        <v>0</v>
      </c>
      <c r="H75" s="16">
        <f>SUM(tblExpenseCategory_07[6 月])</f>
        <v>0</v>
      </c>
      <c r="I75" s="16">
        <f>SUM(tblExpenseCategory_07[7 月])</f>
        <v>0</v>
      </c>
      <c r="J75" s="16">
        <f>SUM(tblExpenseCategory_07[8 月])</f>
        <v>0</v>
      </c>
      <c r="K75" s="16">
        <f>SUM(tblExpenseCategory_07[9 月])</f>
        <v>6250</v>
      </c>
      <c r="L75" s="16">
        <f>SUM(tblExpenseCategory_07[10 月])</f>
        <v>0</v>
      </c>
      <c r="M75" s="16">
        <f>SUM(tblExpenseCategory_07[11 月])</f>
        <v>0</v>
      </c>
      <c r="N75" s="16">
        <f>SUM(tblExpenseCategory_07[12 月])</f>
        <v>0</v>
      </c>
      <c r="O75" s="17">
        <f>SUM(tblExpenseCategory_07[年])</f>
        <v>12500</v>
      </c>
      <c r="P75" s="17">
        <f>tblExpenseCategory_07[[#Totals],[年]]/12</f>
        <v>1041.6666666666667</v>
      </c>
    </row>
    <row r="76" spans="2:16" ht="16.5" customHeight="1"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23"/>
      <c r="P76" s="23"/>
    </row>
    <row r="77" spans="2:16" ht="16.5" customHeight="1" thickBot="1">
      <c r="B77" s="12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3"/>
      <c r="P77" s="23"/>
    </row>
    <row r="78" spans="2:16" ht="16.5" customHeight="1" thickTop="1">
      <c r="B78" s="20" t="s">
        <v>36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6"/>
      <c r="P78" s="26"/>
    </row>
    <row r="79" spans="2:16" ht="16.5" customHeight="1">
      <c r="B79" s="15" t="s">
        <v>83</v>
      </c>
      <c r="C79" s="16"/>
      <c r="D79" s="16">
        <v>1000</v>
      </c>
      <c r="E79" s="16"/>
      <c r="F79" s="16"/>
      <c r="G79" s="16"/>
      <c r="H79" s="16">
        <v>1000</v>
      </c>
      <c r="I79" s="16"/>
      <c r="J79" s="16"/>
      <c r="K79" s="16"/>
      <c r="L79" s="16">
        <v>1000</v>
      </c>
      <c r="M79" s="16"/>
      <c r="N79" s="16"/>
      <c r="O79" s="17">
        <f>SUM(tblExpenseCategory_08[[#This Row],[1 月]:[12 月]])</f>
        <v>3000</v>
      </c>
      <c r="P79" s="17">
        <f>tblExpenseCategory_08[[#This Row],[年]]/12</f>
        <v>250</v>
      </c>
    </row>
    <row r="80" spans="2:16" ht="16.5" customHeight="1">
      <c r="B80" s="15" t="s">
        <v>84</v>
      </c>
      <c r="C80" s="16"/>
      <c r="D80" s="16"/>
      <c r="E80" s="16">
        <v>1000</v>
      </c>
      <c r="F80" s="16"/>
      <c r="G80" s="16">
        <v>1000</v>
      </c>
      <c r="H80" s="16"/>
      <c r="I80" s="16">
        <v>1000</v>
      </c>
      <c r="J80" s="16"/>
      <c r="K80" s="16">
        <v>1000</v>
      </c>
      <c r="L80" s="16"/>
      <c r="M80" s="16">
        <v>1000</v>
      </c>
      <c r="N80" s="16"/>
      <c r="O80" s="17">
        <f>SUM(tblExpenseCategory_08[[#This Row],[1 月]:[12 月]])</f>
        <v>5000</v>
      </c>
      <c r="P80" s="17">
        <f>tblExpenseCategory_08[[#This Row],[年]]/12</f>
        <v>416.66666666666669</v>
      </c>
    </row>
    <row r="81" spans="2:16" ht="16.5" customHeight="1">
      <c r="B81" s="15" t="s">
        <v>27</v>
      </c>
      <c r="C81" s="16"/>
      <c r="D81" s="16"/>
      <c r="E81" s="16"/>
      <c r="F81" s="16">
        <v>1000</v>
      </c>
      <c r="G81" s="16"/>
      <c r="H81" s="16"/>
      <c r="I81" s="16"/>
      <c r="J81" s="16">
        <v>1000</v>
      </c>
      <c r="K81" s="16"/>
      <c r="L81" s="16"/>
      <c r="M81" s="16"/>
      <c r="N81" s="16">
        <v>1000</v>
      </c>
      <c r="O81" s="17">
        <f>SUM(tblExpenseCategory_08[[#This Row],[1 月]:[12 月]])</f>
        <v>3000</v>
      </c>
      <c r="P81" s="17">
        <f>tblExpenseCategory_08[[#This Row],[年]]/12</f>
        <v>250</v>
      </c>
    </row>
    <row r="82" spans="2:16" ht="16.5" customHeight="1">
      <c r="B82" s="15" t="str">
        <f>UPPER(B78&amp;" 总额")</f>
        <v>慈善 总额</v>
      </c>
      <c r="C82" s="16">
        <f>SUM(tblExpenseCategory_08[1 月])</f>
        <v>0</v>
      </c>
      <c r="D82" s="16">
        <f>SUM(tblExpenseCategory_08[2 月])</f>
        <v>1000</v>
      </c>
      <c r="E82" s="16">
        <f>SUM(tblExpenseCategory_08[3 月])</f>
        <v>1000</v>
      </c>
      <c r="F82" s="16">
        <f>SUM(tblExpenseCategory_08[4 月])</f>
        <v>1000</v>
      </c>
      <c r="G82" s="16">
        <f>SUM(tblExpenseCategory_08[5 月])</f>
        <v>1000</v>
      </c>
      <c r="H82" s="16">
        <f>SUM(tblExpenseCategory_08[6 月])</f>
        <v>1000</v>
      </c>
      <c r="I82" s="16">
        <f>SUM(tblExpenseCategory_08[7 月])</f>
        <v>1000</v>
      </c>
      <c r="J82" s="16">
        <f>SUM(tblExpenseCategory_08[8 月])</f>
        <v>1000</v>
      </c>
      <c r="K82" s="16">
        <f>SUM(tblExpenseCategory_08[9 月])</f>
        <v>1000</v>
      </c>
      <c r="L82" s="16">
        <f>SUM(tblExpenseCategory_08[10 月])</f>
        <v>1000</v>
      </c>
      <c r="M82" s="16">
        <f>SUM(tblExpenseCategory_08[11 月])</f>
        <v>1000</v>
      </c>
      <c r="N82" s="16">
        <f>SUM(tblExpenseCategory_08[12 月])</f>
        <v>1000</v>
      </c>
      <c r="O82" s="17">
        <f>SUM(tblExpenseCategory_08[年])</f>
        <v>11000</v>
      </c>
      <c r="P82" s="17">
        <f>tblExpenseCategory_08[[#Totals],[年]]/12</f>
        <v>916.66666666666663</v>
      </c>
    </row>
    <row r="83" spans="2:16" ht="16.5" customHeight="1"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23"/>
      <c r="P83" s="23"/>
    </row>
    <row r="84" spans="2:16" ht="16.5" customHeight="1" thickBot="1">
      <c r="B84" s="12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3"/>
      <c r="P84" s="23"/>
    </row>
    <row r="85" spans="2:16" ht="16.5" customHeight="1" thickTop="1">
      <c r="B85" s="20" t="s">
        <v>37</v>
      </c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6"/>
      <c r="P85" s="26"/>
    </row>
    <row r="86" spans="2:16" ht="16.5" customHeight="1">
      <c r="B86" s="15" t="s">
        <v>86</v>
      </c>
      <c r="C86" s="16">
        <v>1000</v>
      </c>
      <c r="D86" s="16">
        <v>1000</v>
      </c>
      <c r="E86" s="16">
        <v>1000</v>
      </c>
      <c r="F86" s="16">
        <v>1000</v>
      </c>
      <c r="G86" s="16">
        <v>1000</v>
      </c>
      <c r="H86" s="16"/>
      <c r="I86" s="16"/>
      <c r="J86" s="16"/>
      <c r="K86" s="16">
        <v>1000</v>
      </c>
      <c r="L86" s="16">
        <v>1000</v>
      </c>
      <c r="M86" s="16">
        <v>1000</v>
      </c>
      <c r="N86" s="16">
        <v>1000</v>
      </c>
      <c r="O86" s="17">
        <f>SUM(tblExpenseCategory_09[[#This Row],[1 月]:[12 月]])</f>
        <v>9000</v>
      </c>
      <c r="P86" s="17">
        <f>tblExpenseCategory_09[[#This Row],[年]]/12</f>
        <v>750</v>
      </c>
    </row>
    <row r="87" spans="2:16" ht="16.5" customHeight="1">
      <c r="B87" s="15" t="s">
        <v>132</v>
      </c>
      <c r="C87" s="16">
        <v>5000</v>
      </c>
      <c r="D87" s="16">
        <v>5000</v>
      </c>
      <c r="E87" s="16">
        <v>5000</v>
      </c>
      <c r="F87" s="16">
        <v>5000</v>
      </c>
      <c r="G87" s="16">
        <v>5000</v>
      </c>
      <c r="H87" s="16">
        <v>5000</v>
      </c>
      <c r="I87" s="16">
        <v>5000</v>
      </c>
      <c r="J87" s="16">
        <v>5000</v>
      </c>
      <c r="K87" s="16">
        <v>5000</v>
      </c>
      <c r="L87" s="16">
        <v>5000</v>
      </c>
      <c r="M87" s="16">
        <v>5000</v>
      </c>
      <c r="N87" s="16">
        <v>5000</v>
      </c>
      <c r="O87" s="17">
        <f>SUM(tblExpenseCategory_09[[#This Row],[1 月]:[12 月]])</f>
        <v>60000</v>
      </c>
      <c r="P87" s="17">
        <f>tblExpenseCategory_09[[#This Row],[年]]/12</f>
        <v>5000</v>
      </c>
    </row>
    <row r="88" spans="2:16" ht="16.5" customHeight="1">
      <c r="B88" s="15" t="s">
        <v>87</v>
      </c>
      <c r="C88" s="16">
        <v>2000</v>
      </c>
      <c r="D88" s="16">
        <v>2000</v>
      </c>
      <c r="E88" s="16">
        <v>2000</v>
      </c>
      <c r="F88" s="16">
        <v>2000</v>
      </c>
      <c r="G88" s="16">
        <v>2000</v>
      </c>
      <c r="H88" s="16"/>
      <c r="I88" s="16"/>
      <c r="J88" s="16"/>
      <c r="K88" s="16">
        <v>2000</v>
      </c>
      <c r="L88" s="16">
        <v>2000</v>
      </c>
      <c r="M88" s="16">
        <v>2000</v>
      </c>
      <c r="N88" s="16">
        <v>2000</v>
      </c>
      <c r="O88" s="17">
        <f>SUM(tblExpenseCategory_09[[#This Row],[1 月]:[12 月]])</f>
        <v>18000</v>
      </c>
      <c r="P88" s="17">
        <f>tblExpenseCategory_09[[#This Row],[年]]/12</f>
        <v>1500</v>
      </c>
    </row>
    <row r="89" spans="2:16" ht="16.5" customHeight="1">
      <c r="B89" s="15" t="str">
        <f>UPPER(B85&amp;" 总额")</f>
        <v>储蓄 总额</v>
      </c>
      <c r="C89" s="16">
        <f>SUM(tblExpenseCategory_09[1 月])</f>
        <v>8000</v>
      </c>
      <c r="D89" s="16">
        <f>SUM(tblExpenseCategory_09[2 月])</f>
        <v>8000</v>
      </c>
      <c r="E89" s="16">
        <f>SUM(tblExpenseCategory_09[3 月])</f>
        <v>8000</v>
      </c>
      <c r="F89" s="16">
        <f>SUM(tblExpenseCategory_09[4 月])</f>
        <v>8000</v>
      </c>
      <c r="G89" s="16">
        <f>SUM(tblExpenseCategory_09[5 月])</f>
        <v>8000</v>
      </c>
      <c r="H89" s="16">
        <f>SUM(tblExpenseCategory_09[6 月])</f>
        <v>5000</v>
      </c>
      <c r="I89" s="16">
        <f>SUM(tblExpenseCategory_09[7 月])</f>
        <v>5000</v>
      </c>
      <c r="J89" s="16">
        <f>SUM(tblExpenseCategory_09[8 月])</f>
        <v>5000</v>
      </c>
      <c r="K89" s="16">
        <f>SUM(tblExpenseCategory_09[9 月])</f>
        <v>8000</v>
      </c>
      <c r="L89" s="16">
        <f>SUM(tblExpenseCategory_09[10 月])</f>
        <v>8000</v>
      </c>
      <c r="M89" s="16">
        <f>SUM(tblExpenseCategory_09[11 月])</f>
        <v>8000</v>
      </c>
      <c r="N89" s="16">
        <f>SUM(tblExpenseCategory_09[12 月])</f>
        <v>8000</v>
      </c>
      <c r="O89" s="17">
        <f>SUM(tblExpenseCategory_09[年])</f>
        <v>87000</v>
      </c>
      <c r="P89" s="17">
        <f>tblExpenseCategory_09[[#Totals],[年]]/12</f>
        <v>7250</v>
      </c>
    </row>
    <row r="90" spans="2:16" ht="16.5" customHeight="1"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23"/>
      <c r="P90" s="23"/>
    </row>
    <row r="91" spans="2:16" ht="16.5" customHeight="1" thickBot="1">
      <c r="B91" s="12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3"/>
      <c r="P91" s="23"/>
    </row>
    <row r="92" spans="2:16" ht="16.5" customHeight="1" thickTop="1">
      <c r="B92" s="20" t="s">
        <v>38</v>
      </c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6"/>
      <c r="P92" s="26"/>
    </row>
    <row r="93" spans="2:16" ht="16.5" customHeight="1">
      <c r="B93" s="15" t="s">
        <v>93</v>
      </c>
      <c r="C93" s="16">
        <v>1450</v>
      </c>
      <c r="D93" s="16">
        <v>1450</v>
      </c>
      <c r="E93" s="16">
        <v>1450</v>
      </c>
      <c r="F93" s="16">
        <v>1450</v>
      </c>
      <c r="G93" s="16">
        <v>1450</v>
      </c>
      <c r="H93" s="16">
        <v>1450</v>
      </c>
      <c r="I93" s="16">
        <v>1450</v>
      </c>
      <c r="J93" s="16">
        <v>1450</v>
      </c>
      <c r="K93" s="16">
        <v>1450</v>
      </c>
      <c r="L93" s="16">
        <v>1450</v>
      </c>
      <c r="M93" s="16">
        <v>1450</v>
      </c>
      <c r="N93" s="16">
        <v>1450</v>
      </c>
      <c r="O93" s="17">
        <f>SUM(tblExpenseCategory_10[[#This Row],[1 月]:[12 月]])</f>
        <v>17400</v>
      </c>
      <c r="P93" s="17">
        <f>tblExpenseCategory_10[[#This Row],[年]]/12</f>
        <v>1450</v>
      </c>
    </row>
    <row r="94" spans="2:16" ht="16.5" customHeight="1">
      <c r="B94" s="15" t="s">
        <v>97</v>
      </c>
      <c r="C94" s="16">
        <v>4500</v>
      </c>
      <c r="D94" s="16"/>
      <c r="E94" s="16"/>
      <c r="F94" s="16">
        <v>4500</v>
      </c>
      <c r="G94" s="16"/>
      <c r="H94" s="16"/>
      <c r="I94" s="16">
        <v>4500</v>
      </c>
      <c r="J94" s="16"/>
      <c r="K94" s="16"/>
      <c r="L94" s="16">
        <v>4500</v>
      </c>
      <c r="M94" s="16"/>
      <c r="N94" s="16"/>
      <c r="O94" s="17">
        <f>SUM(tblExpenseCategory_10[[#This Row],[1 月]:[12 月]])</f>
        <v>18000</v>
      </c>
      <c r="P94" s="17">
        <f>tblExpenseCategory_10[[#This Row],[年]]/12</f>
        <v>1500</v>
      </c>
    </row>
    <row r="95" spans="2:16" ht="16.5" customHeight="1">
      <c r="B95" s="15" t="s">
        <v>91</v>
      </c>
      <c r="C95" s="16">
        <v>550</v>
      </c>
      <c r="D95" s="16">
        <v>550</v>
      </c>
      <c r="E95" s="16">
        <v>550</v>
      </c>
      <c r="F95" s="16">
        <v>550</v>
      </c>
      <c r="G95" s="16">
        <v>550</v>
      </c>
      <c r="H95" s="16">
        <v>550</v>
      </c>
      <c r="I95" s="16">
        <v>550</v>
      </c>
      <c r="J95" s="16">
        <v>550</v>
      </c>
      <c r="K95" s="16">
        <v>550</v>
      </c>
      <c r="L95" s="16">
        <v>550</v>
      </c>
      <c r="M95" s="16">
        <v>550</v>
      </c>
      <c r="N95" s="16">
        <v>550</v>
      </c>
      <c r="O95" s="17">
        <f>SUM(tblExpenseCategory_10[[#This Row],[1 月]:[12 月]])</f>
        <v>6600</v>
      </c>
      <c r="P95" s="17">
        <f>tblExpenseCategory_10[[#This Row],[年]]/12</f>
        <v>550</v>
      </c>
    </row>
    <row r="96" spans="2:16" ht="16.5" customHeight="1">
      <c r="B96" s="15" t="str">
        <f>UPPER(B92&amp;" 总额")</f>
        <v>债务 总额</v>
      </c>
      <c r="C96" s="16">
        <f>SUM(tblExpenseCategory_10[1 月])</f>
        <v>6500</v>
      </c>
      <c r="D96" s="16">
        <f>SUM(tblExpenseCategory_10[2 月])</f>
        <v>2000</v>
      </c>
      <c r="E96" s="16">
        <f>SUM(tblExpenseCategory_10[3 月])</f>
        <v>2000</v>
      </c>
      <c r="F96" s="16">
        <f>SUM(tblExpenseCategory_10[4 月])</f>
        <v>6500</v>
      </c>
      <c r="G96" s="16">
        <f>SUM(tblExpenseCategory_10[5 月])</f>
        <v>2000</v>
      </c>
      <c r="H96" s="16">
        <f>SUM(tblExpenseCategory_10[6 月])</f>
        <v>2000</v>
      </c>
      <c r="I96" s="16">
        <f>SUM(tblExpenseCategory_10[7 月])</f>
        <v>6500</v>
      </c>
      <c r="J96" s="16">
        <f>SUM(tblExpenseCategory_10[8 月])</f>
        <v>2000</v>
      </c>
      <c r="K96" s="16">
        <f>SUM(tblExpenseCategory_10[9 月])</f>
        <v>2000</v>
      </c>
      <c r="L96" s="16">
        <f>SUM(tblExpenseCategory_10[10 月])</f>
        <v>6500</v>
      </c>
      <c r="M96" s="16">
        <f>SUM(tblExpenseCategory_10[11 月])</f>
        <v>2000</v>
      </c>
      <c r="N96" s="16">
        <f>SUM(tblExpenseCategory_10[12 月])</f>
        <v>2000</v>
      </c>
      <c r="O96" s="17">
        <f>SUM(tblExpenseCategory_10[年])</f>
        <v>42000</v>
      </c>
      <c r="P96" s="17">
        <f>tblExpenseCategory_10[[#Totals],[年]]/12</f>
        <v>3500</v>
      </c>
    </row>
    <row r="97" spans="2:16" ht="16.5" customHeight="1"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23"/>
      <c r="P97" s="23"/>
    </row>
    <row r="98" spans="2:16" ht="16.5" customHeight="1" thickBot="1">
      <c r="B98" s="12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3"/>
      <c r="P98" s="23"/>
    </row>
    <row r="99" spans="2:16" ht="16.5" customHeight="1" thickTop="1">
      <c r="B99" s="20" t="s">
        <v>0</v>
      </c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6"/>
      <c r="P99" s="26"/>
    </row>
    <row r="100" spans="2:16" ht="16.5" customHeight="1">
      <c r="B100" s="15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7">
        <f>SUM(tblExpenseCategory_11[[#This Row],[1 月]:[12 月]])</f>
        <v>0</v>
      </c>
      <c r="P100" s="17">
        <f>tblExpenseCategory_11[[#This Row],[年]]/12</f>
        <v>0</v>
      </c>
    </row>
    <row r="101" spans="2:16" ht="16.5" customHeight="1">
      <c r="B101" s="15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7">
        <f>SUM(tblExpenseCategory_11[[#This Row],[1 月]:[12 月]])</f>
        <v>0</v>
      </c>
      <c r="P101" s="17">
        <f>tblExpenseCategory_11[[#This Row],[年]]/12</f>
        <v>0</v>
      </c>
    </row>
    <row r="102" spans="2:16" ht="16.5" customHeight="1">
      <c r="B102" s="15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7">
        <f>SUM(tblExpenseCategory_11[[#This Row],[1 月]:[12 月]])</f>
        <v>0</v>
      </c>
      <c r="P102" s="17">
        <f>tblExpenseCategory_11[[#This Row],[年]]/12</f>
        <v>0</v>
      </c>
    </row>
    <row r="103" spans="2:16" ht="16.5" customHeight="1">
      <c r="B103" s="15" t="str">
        <f>UPPER(B99&amp;" 总额")</f>
        <v xml:space="preserve">  总额</v>
      </c>
      <c r="C103" s="16">
        <f>SUM(tblExpenseCategory_11[1 月])</f>
        <v>0</v>
      </c>
      <c r="D103" s="16">
        <f>SUM(tblExpenseCategory_11[2 月])</f>
        <v>0</v>
      </c>
      <c r="E103" s="16">
        <f>SUM(tblExpenseCategory_11[3 月])</f>
        <v>0</v>
      </c>
      <c r="F103" s="16">
        <f>SUM(tblExpenseCategory_11[4 月])</f>
        <v>0</v>
      </c>
      <c r="G103" s="16">
        <f>SUM(tblExpenseCategory_11[5 月])</f>
        <v>0</v>
      </c>
      <c r="H103" s="16">
        <f>SUM(tblExpenseCategory_11[6 月])</f>
        <v>0</v>
      </c>
      <c r="I103" s="16">
        <f>SUM(tblExpenseCategory_11[7 月])</f>
        <v>0</v>
      </c>
      <c r="J103" s="16">
        <f>SUM(tblExpenseCategory_11[8 月])</f>
        <v>0</v>
      </c>
      <c r="K103" s="16">
        <f>SUM(tblExpenseCategory_11[9 月])</f>
        <v>0</v>
      </c>
      <c r="L103" s="16">
        <f>SUM(tblExpenseCategory_11[10 月])</f>
        <v>0</v>
      </c>
      <c r="M103" s="16">
        <f>SUM(tblExpenseCategory_11[11 月])</f>
        <v>0</v>
      </c>
      <c r="N103" s="16">
        <f>SUM(tblExpenseCategory_11[12 月])</f>
        <v>0</v>
      </c>
      <c r="O103" s="17">
        <f>SUM(tblExpenseCategory_11[年])</f>
        <v>0</v>
      </c>
      <c r="P103" s="17">
        <f>tblExpenseCategory_11[[#Totals],[年]]/12</f>
        <v>0</v>
      </c>
    </row>
    <row r="104" spans="2:16" ht="16.5" customHeight="1"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23"/>
      <c r="P104" s="23"/>
    </row>
    <row r="105" spans="2:16" ht="16.5" customHeight="1" thickBot="1">
      <c r="B105" s="12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3"/>
      <c r="P105" s="23"/>
    </row>
    <row r="106" spans="2:16" ht="16.5" customHeight="1" thickTop="1">
      <c r="B106" s="20" t="s">
        <v>0</v>
      </c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6"/>
      <c r="P106" s="26"/>
    </row>
    <row r="107" spans="2:16" ht="16.5" customHeight="1">
      <c r="B107" s="15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7">
        <f>SUM(tblExpenseCategory_12[[#This Row],[1 月]:[12 月]])</f>
        <v>0</v>
      </c>
      <c r="P107" s="17">
        <f>tblExpenseCategory_12[[#This Row],[年]]/12</f>
        <v>0</v>
      </c>
    </row>
    <row r="108" spans="2:16" ht="16.5" customHeight="1">
      <c r="B108" s="15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7">
        <f>SUM(tblExpenseCategory_12[[#This Row],[1 月]:[12 月]])</f>
        <v>0</v>
      </c>
      <c r="P108" s="17">
        <f>tblExpenseCategory_12[[#This Row],[年]]/12</f>
        <v>0</v>
      </c>
    </row>
    <row r="109" spans="2:16" ht="16.5" customHeight="1">
      <c r="B109" s="15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7">
        <f>SUM(tblExpenseCategory_12[[#This Row],[1 月]:[12 月]])</f>
        <v>0</v>
      </c>
      <c r="P109" s="17">
        <f>tblExpenseCategory_12[[#This Row],[年]]/12</f>
        <v>0</v>
      </c>
    </row>
    <row r="110" spans="2:16" ht="16.5" customHeight="1">
      <c r="B110" s="15" t="str">
        <f>UPPER(B106&amp;" 总额")</f>
        <v xml:space="preserve">  总额</v>
      </c>
      <c r="C110" s="16">
        <f>SUM(tblExpenseCategory_12[1 月])</f>
        <v>0</v>
      </c>
      <c r="D110" s="16">
        <f>SUM(tblExpenseCategory_12[2 月])</f>
        <v>0</v>
      </c>
      <c r="E110" s="16">
        <f>SUM(tblExpenseCategory_12[3 月])</f>
        <v>0</v>
      </c>
      <c r="F110" s="16">
        <f>SUM(tblExpenseCategory_12[4 月])</f>
        <v>0</v>
      </c>
      <c r="G110" s="16">
        <f>SUM(tblExpenseCategory_12[5 月])</f>
        <v>0</v>
      </c>
      <c r="H110" s="16">
        <f>SUM(tblExpenseCategory_12[6 月])</f>
        <v>0</v>
      </c>
      <c r="I110" s="16">
        <f>SUM(tblExpenseCategory_12[7 月])</f>
        <v>0</v>
      </c>
      <c r="J110" s="16">
        <f>SUM(tblExpenseCategory_12[8 月])</f>
        <v>0</v>
      </c>
      <c r="K110" s="16">
        <f>SUM(tblExpenseCategory_12[9 月])</f>
        <v>0</v>
      </c>
      <c r="L110" s="16">
        <f>SUM(tblExpenseCategory_12[10 月])</f>
        <v>0</v>
      </c>
      <c r="M110" s="16">
        <f>SUM(tblExpenseCategory_12[11 月])</f>
        <v>0</v>
      </c>
      <c r="N110" s="16">
        <f>SUM(tblExpenseCategory_12[12 月])</f>
        <v>0</v>
      </c>
      <c r="O110" s="17">
        <f>SUM(tblExpenseCategory_12[年])</f>
        <v>0</v>
      </c>
      <c r="P110" s="17">
        <f>tblExpenseCategory_12[[#Totals],[年]]/12</f>
        <v>0</v>
      </c>
    </row>
    <row r="111" spans="2:16" ht="16.5" customHeight="1"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23"/>
      <c r="P111" s="23"/>
    </row>
    <row r="112" spans="2:16" ht="16.5" customHeight="1" thickBot="1">
      <c r="B112" s="12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3"/>
      <c r="P112" s="23"/>
    </row>
    <row r="113" spans="2:16" ht="16.5" customHeight="1" thickTop="1">
      <c r="B113" s="20" t="s">
        <v>0</v>
      </c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6"/>
      <c r="P113" s="26"/>
    </row>
    <row r="114" spans="2:16" ht="16.5" customHeight="1">
      <c r="B114" s="15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7">
        <f>SUM(tblExpenseCategory_13[[#This Row],[1 月]:[12 月]])</f>
        <v>0</v>
      </c>
      <c r="P114" s="17">
        <f>tblExpenseCategory_13[[#This Row],[年]]/12</f>
        <v>0</v>
      </c>
    </row>
    <row r="115" spans="2:16" ht="16.5" customHeight="1">
      <c r="B115" s="15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7">
        <f>SUM(tblExpenseCategory_13[[#This Row],[1 月]:[12 月]])</f>
        <v>0</v>
      </c>
      <c r="P115" s="17">
        <f>tblExpenseCategory_13[[#This Row],[年]]/12</f>
        <v>0</v>
      </c>
    </row>
    <row r="116" spans="2:16" ht="16.5" customHeight="1">
      <c r="B116" s="15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7">
        <f>SUM(tblExpenseCategory_13[[#This Row],[1 月]:[12 月]])</f>
        <v>0</v>
      </c>
      <c r="P116" s="17">
        <f>tblExpenseCategory_13[[#This Row],[年]]/12</f>
        <v>0</v>
      </c>
    </row>
    <row r="117" spans="2:16" ht="16.5" customHeight="1">
      <c r="B117" s="15" t="str">
        <f>UPPER(B113&amp;" 总额")</f>
        <v xml:space="preserve">  总额</v>
      </c>
      <c r="C117" s="16">
        <f>SUM(tblExpenseCategory_13[1 月])</f>
        <v>0</v>
      </c>
      <c r="D117" s="16">
        <f>SUM(tblExpenseCategory_13[2 月])</f>
        <v>0</v>
      </c>
      <c r="E117" s="16">
        <f>SUM(tblExpenseCategory_13[3 月])</f>
        <v>0</v>
      </c>
      <c r="F117" s="16">
        <f>SUM(tblExpenseCategory_13[4 月])</f>
        <v>0</v>
      </c>
      <c r="G117" s="16">
        <f>SUM(tblExpenseCategory_13[5 月])</f>
        <v>0</v>
      </c>
      <c r="H117" s="16">
        <f>SUM(tblExpenseCategory_13[6 月])</f>
        <v>0</v>
      </c>
      <c r="I117" s="16">
        <f>SUM(tblExpenseCategory_13[7 月])</f>
        <v>0</v>
      </c>
      <c r="J117" s="16">
        <f>SUM(tblExpenseCategory_13[8 月])</f>
        <v>0</v>
      </c>
      <c r="K117" s="16">
        <f>SUM(tblExpenseCategory_13[9 月])</f>
        <v>0</v>
      </c>
      <c r="L117" s="16">
        <f>SUM(tblExpenseCategory_13[10 月])</f>
        <v>0</v>
      </c>
      <c r="M117" s="16">
        <f>SUM(tblExpenseCategory_13[11 月])</f>
        <v>0</v>
      </c>
      <c r="N117" s="16">
        <f>SUM(tblExpenseCategory_13[12 月])</f>
        <v>0</v>
      </c>
      <c r="O117" s="17">
        <f>SUM(tblExpenseCategory_13[年])</f>
        <v>0</v>
      </c>
      <c r="P117" s="17">
        <f>tblExpenseCategory_13[[#Totals],[年]]/12</f>
        <v>0</v>
      </c>
    </row>
    <row r="118" spans="2:16" ht="16.5" customHeight="1"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23"/>
      <c r="P118" s="23"/>
    </row>
    <row r="119" spans="2:16" ht="16.5" customHeight="1" thickBot="1">
      <c r="B119" s="12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3"/>
      <c r="P119" s="23"/>
    </row>
    <row r="120" spans="2:16" ht="16.5" customHeight="1" thickTop="1">
      <c r="B120" s="20" t="s">
        <v>0</v>
      </c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6"/>
      <c r="P120" s="26"/>
    </row>
    <row r="121" spans="2:16" ht="16.5" customHeight="1">
      <c r="B121" s="15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7">
        <f>SUM(tblExpenseCategory_14[[#This Row],[1 月]:[12 月]])</f>
        <v>0</v>
      </c>
      <c r="P121" s="17">
        <f>tblExpenseCategory_14[[#This Row],[年]]/12</f>
        <v>0</v>
      </c>
    </row>
    <row r="122" spans="2:16" ht="16.5" customHeight="1">
      <c r="B122" s="15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7">
        <f>SUM(tblExpenseCategory_14[[#This Row],[1 月]:[12 月]])</f>
        <v>0</v>
      </c>
      <c r="P122" s="17">
        <f>tblExpenseCategory_14[[#This Row],[年]]/12</f>
        <v>0</v>
      </c>
    </row>
    <row r="123" spans="2:16" ht="16.5" customHeight="1">
      <c r="B123" s="15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7">
        <f>SUM(tblExpenseCategory_14[[#This Row],[1 月]:[12 月]])</f>
        <v>0</v>
      </c>
      <c r="P123" s="17">
        <f>tblExpenseCategory_14[[#This Row],[年]]/12</f>
        <v>0</v>
      </c>
    </row>
    <row r="124" spans="2:16" ht="16.5" customHeight="1">
      <c r="B124" s="15" t="str">
        <f>UPPER(B120&amp;" 总额")</f>
        <v xml:space="preserve">  总额</v>
      </c>
      <c r="C124" s="16">
        <f>SUM(tblExpenseCategory_14[1 月])</f>
        <v>0</v>
      </c>
      <c r="D124" s="16">
        <f>SUM(tblExpenseCategory_14[2 月])</f>
        <v>0</v>
      </c>
      <c r="E124" s="16">
        <f>SUM(tblExpenseCategory_14[3 月])</f>
        <v>0</v>
      </c>
      <c r="F124" s="16">
        <f>SUM(tblExpenseCategory_14[4 月])</f>
        <v>0</v>
      </c>
      <c r="G124" s="16">
        <f>SUM(tblExpenseCategory_14[5 月])</f>
        <v>0</v>
      </c>
      <c r="H124" s="16">
        <f>SUM(tblExpenseCategory_14[6 月])</f>
        <v>0</v>
      </c>
      <c r="I124" s="16">
        <f>SUM(tblExpenseCategory_14[7 月])</f>
        <v>0</v>
      </c>
      <c r="J124" s="16">
        <f>SUM(tblExpenseCategory_14[8 月])</f>
        <v>0</v>
      </c>
      <c r="K124" s="16">
        <f>SUM(tblExpenseCategory_14[9 月])</f>
        <v>0</v>
      </c>
      <c r="L124" s="16">
        <f>SUM(tblExpenseCategory_14[10 月])</f>
        <v>0</v>
      </c>
      <c r="M124" s="16">
        <f>SUM(tblExpenseCategory_14[11 月])</f>
        <v>0</v>
      </c>
      <c r="N124" s="16">
        <f>SUM(tblExpenseCategory_14[12 月])</f>
        <v>0</v>
      </c>
      <c r="O124" s="17">
        <f>SUM(tblExpenseCategory_14[年])</f>
        <v>0</v>
      </c>
      <c r="P124" s="17">
        <f>tblExpenseCategory_14[[#Totals],[年]]/12</f>
        <v>0</v>
      </c>
    </row>
    <row r="125" spans="2:16" ht="16.5" customHeight="1"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23"/>
      <c r="P125" s="23"/>
    </row>
    <row r="126" spans="2:16" ht="16.5" customHeight="1" thickBot="1">
      <c r="B126" s="12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3"/>
      <c r="P126" s="23"/>
    </row>
    <row r="127" spans="2:16" ht="16.5" customHeight="1" thickTop="1">
      <c r="B127" s="20" t="s">
        <v>0</v>
      </c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6"/>
      <c r="P127" s="26"/>
    </row>
    <row r="128" spans="2:16" ht="16.5" customHeight="1">
      <c r="B128" s="15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7">
        <f>SUM(tblExpenseCategory_15[[#This Row],[1 月]:[12 月]])</f>
        <v>0</v>
      </c>
      <c r="P128" s="17">
        <f>tblExpenseCategory_15[[#This Row],[年]]/12</f>
        <v>0</v>
      </c>
    </row>
    <row r="129" spans="2:16" ht="16.5" customHeight="1">
      <c r="B129" s="15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7">
        <f>SUM(tblExpenseCategory_15[[#This Row],[1 月]:[12 月]])</f>
        <v>0</v>
      </c>
      <c r="P129" s="17">
        <f>tblExpenseCategory_15[[#This Row],[年]]/12</f>
        <v>0</v>
      </c>
    </row>
    <row r="130" spans="2:16" ht="16.5" customHeight="1">
      <c r="B130" s="15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7">
        <f>SUM(tblExpenseCategory_15[[#This Row],[1 月]:[12 月]])</f>
        <v>0</v>
      </c>
      <c r="P130" s="17">
        <f>tblExpenseCategory_15[[#This Row],[年]]/12</f>
        <v>0</v>
      </c>
    </row>
    <row r="131" spans="2:16" ht="16.5" customHeight="1">
      <c r="B131" s="15" t="str">
        <f>UPPER(B127&amp;" 总额")</f>
        <v xml:space="preserve">  总额</v>
      </c>
      <c r="C131" s="16">
        <f>SUM(tblExpenseCategory_15[1 月])</f>
        <v>0</v>
      </c>
      <c r="D131" s="16">
        <f>SUM(tblExpenseCategory_15[2 月])</f>
        <v>0</v>
      </c>
      <c r="E131" s="16">
        <f>SUM(tblExpenseCategory_15[3 月])</f>
        <v>0</v>
      </c>
      <c r="F131" s="16">
        <f>SUM(tblExpenseCategory_15[4 月])</f>
        <v>0</v>
      </c>
      <c r="G131" s="16">
        <f>SUM(tblExpenseCategory_15[5 月])</f>
        <v>0</v>
      </c>
      <c r="H131" s="16">
        <f>SUM(tblExpenseCategory_15[6 月])</f>
        <v>0</v>
      </c>
      <c r="I131" s="16">
        <f>SUM(tblExpenseCategory_15[7 月])</f>
        <v>0</v>
      </c>
      <c r="J131" s="16">
        <f>SUM(tblExpenseCategory_15[8 月])</f>
        <v>0</v>
      </c>
      <c r="K131" s="16">
        <f>SUM(tblExpenseCategory_15[9 月])</f>
        <v>0</v>
      </c>
      <c r="L131" s="16">
        <f>SUM(tblExpenseCategory_15[10 月])</f>
        <v>0</v>
      </c>
      <c r="M131" s="16">
        <f>SUM(tblExpenseCategory_15[11 月])</f>
        <v>0</v>
      </c>
      <c r="N131" s="16">
        <f>SUM(tblExpenseCategory_15[12 月])</f>
        <v>0</v>
      </c>
      <c r="O131" s="17">
        <f>SUM(tblExpenseCategory_15[年])</f>
        <v>0</v>
      </c>
      <c r="P131" s="17">
        <f>tblExpenseCategory_15[[#Totals],[年]]/12</f>
        <v>0</v>
      </c>
    </row>
  </sheetData>
  <mergeCells count="15">
    <mergeCell ref="B118:N118"/>
    <mergeCell ref="B125:N125"/>
    <mergeCell ref="B111:N111"/>
    <mergeCell ref="B19:N19"/>
    <mergeCell ref="B69:N69"/>
    <mergeCell ref="B76:N76"/>
    <mergeCell ref="B83:N83"/>
    <mergeCell ref="B90:N90"/>
    <mergeCell ref="B97:N97"/>
    <mergeCell ref="B104:N104"/>
    <mergeCell ref="B28:N28"/>
    <mergeCell ref="B37:N37"/>
    <mergeCell ref="B46:N46"/>
    <mergeCell ref="B55:N55"/>
    <mergeCell ref="B62:N62"/>
  </mergeCells>
  <phoneticPr fontId="4" type="noConversion"/>
  <dataValidations count="17">
    <dataValidation type="list" allowBlank="1" sqref="B13:B17">
      <formula1>income</formula1>
    </dataValidation>
    <dataValidation type="list" allowBlank="1" sqref="B21 B30 B39 B48 B57 B64 B71 B78 B85 B92 B99 B106 B113 B120 B127">
      <formula1>expense_categories</formula1>
    </dataValidation>
    <dataValidation type="list" allowBlank="1" sqref="B22:B26">
      <formula1>expense_category_list_01</formula1>
    </dataValidation>
    <dataValidation type="list" allowBlank="1" sqref="B31:B35">
      <formula1>expense_category_list_02</formula1>
    </dataValidation>
    <dataValidation type="list" allowBlank="1" sqref="B40:B44">
      <formula1>expense_category_list_03</formula1>
    </dataValidation>
    <dataValidation type="list" allowBlank="1" sqref="B49:B53">
      <formula1>expense_category_list_04</formula1>
    </dataValidation>
    <dataValidation type="list" allowBlank="1" sqref="B58:B60">
      <formula1>expense_category_list_05</formula1>
    </dataValidation>
    <dataValidation type="list" allowBlank="1" sqref="B65:B67">
      <formula1>expense_category_list_06</formula1>
    </dataValidation>
    <dataValidation type="list" allowBlank="1" sqref="B72:B74">
      <formula1>expense_category_list_07</formula1>
    </dataValidation>
    <dataValidation type="list" allowBlank="1" sqref="B79:B81">
      <formula1>expense_category_list_08</formula1>
    </dataValidation>
    <dataValidation type="list" allowBlank="1" sqref="B86:B88">
      <formula1>expense_category_list_09</formula1>
    </dataValidation>
    <dataValidation type="list" allowBlank="1" sqref="B93:B95">
      <formula1>expense_category_list_10</formula1>
    </dataValidation>
    <dataValidation type="list" allowBlank="1" sqref="B100:B102">
      <formula1>expense_category_list_11</formula1>
    </dataValidation>
    <dataValidation type="list" allowBlank="1" sqref="B107:B109">
      <formula1>expense_category_list_12</formula1>
    </dataValidation>
    <dataValidation type="list" allowBlank="1" sqref="B114:B116">
      <formula1>expense_category_list_13</formula1>
    </dataValidation>
    <dataValidation type="list" allowBlank="1" sqref="B121:B123">
      <formula1>expense_category_list_14</formula1>
    </dataValidation>
    <dataValidation type="list" allowBlank="1" sqref="B128:B130">
      <formula1>expense_category_list_15</formula1>
    </dataValidation>
  </dataValidations>
  <pageMargins left="0.7" right="0.7" top="0.75" bottom="0.75" header="0.3" footer="0.3"/>
  <pageSetup scale="85" fitToHeight="0" orientation="landscape" r:id="rId1"/>
  <colBreaks count="1" manualBreakCount="1">
    <brk id="16" max="1048575" man="1"/>
  </colBreaks>
  <drawing r:id="rId2"/>
  <picture r:id="rId3"/>
  <tableParts count="1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L59"/>
  <sheetViews>
    <sheetView showGridLines="0" workbookViewId="0"/>
  </sheetViews>
  <sheetFormatPr defaultRowHeight="18.75" customHeight="1"/>
  <cols>
    <col min="1" max="1" width="6.7109375" style="4" customWidth="1"/>
    <col min="2" max="2" width="24.28515625" style="4" customWidth="1"/>
    <col min="3" max="3" width="4.28515625" style="4" customWidth="1"/>
    <col min="4" max="4" width="24.28515625" style="4" customWidth="1"/>
    <col min="5" max="5" width="4.28515625" style="4" customWidth="1"/>
    <col min="6" max="6" width="21.85546875" style="4" customWidth="1"/>
    <col min="7" max="7" width="3.85546875" style="4" customWidth="1"/>
    <col min="8" max="8" width="19.85546875" style="4" customWidth="1"/>
    <col min="9" max="9" width="3.85546875" style="4" customWidth="1"/>
    <col min="10" max="10" width="19.85546875" style="4" customWidth="1"/>
    <col min="11" max="11" width="12.85546875" style="4" customWidth="1"/>
    <col min="12" max="12" width="13.5703125" style="4" customWidth="1"/>
    <col min="13" max="13" width="19.85546875" style="4" customWidth="1"/>
    <col min="14" max="14" width="21.42578125" style="4" customWidth="1"/>
    <col min="15" max="15" width="21.7109375" style="4" customWidth="1"/>
    <col min="16" max="16" width="18.7109375" style="4" customWidth="1"/>
    <col min="17" max="17" width="13.5703125" style="4" customWidth="1"/>
    <col min="18" max="18" width="17.85546875" style="4" customWidth="1"/>
    <col min="19" max="19" width="14" style="4" customWidth="1"/>
    <col min="20" max="20" width="16" style="4" customWidth="1"/>
    <col min="21" max="16384" width="9.140625" style="4"/>
  </cols>
  <sheetData>
    <row r="1" spans="1:12" ht="34.5" customHeight="1">
      <c r="A1" s="7"/>
      <c r="B1" s="27" t="s">
        <v>124</v>
      </c>
      <c r="C1" s="28"/>
      <c r="D1" s="29"/>
      <c r="E1" s="7"/>
      <c r="F1" s="7"/>
      <c r="G1" s="7"/>
      <c r="H1" s="7"/>
      <c r="I1" s="7"/>
      <c r="J1" s="7"/>
      <c r="K1" s="7"/>
      <c r="L1" s="7"/>
    </row>
    <row r="2" spans="1:12" ht="27" customHeight="1">
      <c r="B2" s="30" t="s">
        <v>20</v>
      </c>
      <c r="D2" s="30" t="s">
        <v>28</v>
      </c>
      <c r="F2" s="31"/>
      <c r="G2" s="31"/>
      <c r="H2" s="31"/>
      <c r="I2" s="31"/>
      <c r="J2" s="31"/>
      <c r="K2" s="31"/>
    </row>
    <row r="3" spans="1:12" ht="18.75" customHeight="1">
      <c r="B3" s="4" t="s">
        <v>21</v>
      </c>
      <c r="D3" s="4" t="s">
        <v>0</v>
      </c>
      <c r="F3" s="31"/>
      <c r="G3" s="31"/>
      <c r="H3" s="31"/>
      <c r="I3" s="31"/>
      <c r="J3" s="31"/>
      <c r="K3" s="31"/>
    </row>
    <row r="4" spans="1:12" ht="18.75" customHeight="1">
      <c r="B4" s="4" t="s">
        <v>22</v>
      </c>
      <c r="D4" s="4" t="s">
        <v>29</v>
      </c>
      <c r="F4" s="32" t="s">
        <v>29</v>
      </c>
      <c r="H4" s="32" t="s">
        <v>30</v>
      </c>
      <c r="J4" s="32" t="s">
        <v>31</v>
      </c>
    </row>
    <row r="5" spans="1:12" ht="18.75" customHeight="1">
      <c r="B5" s="4" t="s">
        <v>23</v>
      </c>
      <c r="D5" s="4" t="s">
        <v>30</v>
      </c>
      <c r="F5" s="32" t="s">
        <v>44</v>
      </c>
      <c r="H5" s="32" t="s">
        <v>30</v>
      </c>
      <c r="J5" s="32" t="s">
        <v>63</v>
      </c>
    </row>
    <row r="6" spans="1:12" ht="18.75" customHeight="1">
      <c r="B6" s="4" t="s">
        <v>24</v>
      </c>
      <c r="D6" s="4" t="s">
        <v>31</v>
      </c>
      <c r="F6" s="32" t="s">
        <v>45</v>
      </c>
      <c r="H6" s="32" t="s">
        <v>56</v>
      </c>
      <c r="J6" s="32" t="s">
        <v>58</v>
      </c>
    </row>
    <row r="7" spans="1:12" ht="18.75" customHeight="1">
      <c r="B7" s="4" t="s">
        <v>25</v>
      </c>
      <c r="D7" s="4" t="s">
        <v>32</v>
      </c>
      <c r="F7" s="32" t="s">
        <v>46</v>
      </c>
      <c r="H7" s="32" t="s">
        <v>57</v>
      </c>
      <c r="J7" s="32" t="s">
        <v>64</v>
      </c>
    </row>
    <row r="8" spans="1:12" ht="18.75" customHeight="1">
      <c r="B8" s="4" t="s">
        <v>26</v>
      </c>
      <c r="D8" s="4" t="s">
        <v>33</v>
      </c>
      <c r="F8" s="32" t="s">
        <v>47</v>
      </c>
      <c r="H8" s="32" t="s">
        <v>58</v>
      </c>
      <c r="J8" s="32" t="s">
        <v>65</v>
      </c>
    </row>
    <row r="9" spans="1:12" ht="18.75" customHeight="1">
      <c r="B9" s="4" t="s">
        <v>27</v>
      </c>
      <c r="D9" s="4" t="s">
        <v>34</v>
      </c>
      <c r="F9" s="32" t="s">
        <v>48</v>
      </c>
      <c r="H9" s="32" t="s">
        <v>59</v>
      </c>
      <c r="J9" s="32" t="s">
        <v>66</v>
      </c>
    </row>
    <row r="10" spans="1:12" ht="18.75" customHeight="1">
      <c r="D10" s="4" t="s">
        <v>35</v>
      </c>
      <c r="F10" s="32" t="s">
        <v>49</v>
      </c>
      <c r="H10" s="32" t="s">
        <v>60</v>
      </c>
      <c r="J10" s="32" t="s">
        <v>67</v>
      </c>
    </row>
    <row r="11" spans="1:12" ht="18.75" customHeight="1">
      <c r="D11" s="4" t="s">
        <v>36</v>
      </c>
      <c r="F11" s="32" t="s">
        <v>50</v>
      </c>
      <c r="H11" s="32" t="s">
        <v>61</v>
      </c>
      <c r="J11" s="32" t="s">
        <v>68</v>
      </c>
    </row>
    <row r="12" spans="1:12" ht="18.75" customHeight="1">
      <c r="D12" s="4" t="s">
        <v>37</v>
      </c>
      <c r="F12" s="32" t="s">
        <v>51</v>
      </c>
      <c r="H12" s="32" t="s">
        <v>62</v>
      </c>
      <c r="J12" s="32" t="s">
        <v>27</v>
      </c>
    </row>
    <row r="13" spans="1:12" ht="18.75" customHeight="1">
      <c r="D13" s="4" t="s">
        <v>38</v>
      </c>
      <c r="F13" s="32" t="s">
        <v>52</v>
      </c>
    </row>
    <row r="14" spans="1:12" ht="18.75" customHeight="1">
      <c r="D14" s="4" t="s">
        <v>39</v>
      </c>
      <c r="F14" s="32" t="s">
        <v>53</v>
      </c>
    </row>
    <row r="15" spans="1:12" ht="18.75" customHeight="1">
      <c r="D15" s="4" t="s">
        <v>40</v>
      </c>
      <c r="F15" s="32" t="s">
        <v>54</v>
      </c>
    </row>
    <row r="16" spans="1:12" ht="18.75" customHeight="1">
      <c r="D16" s="4" t="s">
        <v>41</v>
      </c>
      <c r="F16" s="32" t="s">
        <v>55</v>
      </c>
    </row>
    <row r="17" spans="4:10" ht="18.75" customHeight="1">
      <c r="D17" s="4" t="s">
        <v>42</v>
      </c>
      <c r="F17" s="32" t="s">
        <v>27</v>
      </c>
    </row>
    <row r="18" spans="4:10" ht="18.75" customHeight="1">
      <c r="D18" s="4" t="s">
        <v>43</v>
      </c>
    </row>
    <row r="20" spans="4:10" ht="18.75" customHeight="1">
      <c r="F20" s="32" t="s">
        <v>32</v>
      </c>
      <c r="H20" s="32" t="s">
        <v>33</v>
      </c>
      <c r="J20" s="32" t="s">
        <v>34</v>
      </c>
    </row>
    <row r="21" spans="4:10" ht="18.75" customHeight="1">
      <c r="F21" s="32" t="s">
        <v>69</v>
      </c>
      <c r="H21" s="32" t="s">
        <v>70</v>
      </c>
      <c r="J21" s="32" t="s">
        <v>71</v>
      </c>
    </row>
    <row r="22" spans="4:10" ht="18.75" customHeight="1">
      <c r="F22" s="32" t="s">
        <v>72</v>
      </c>
      <c r="H22" s="32" t="s">
        <v>73</v>
      </c>
      <c r="J22" s="32" t="s">
        <v>33</v>
      </c>
    </row>
    <row r="23" spans="4:10" ht="18.75" customHeight="1">
      <c r="F23" s="32" t="s">
        <v>74</v>
      </c>
      <c r="H23" s="32" t="s">
        <v>75</v>
      </c>
      <c r="J23" s="32" t="s">
        <v>76</v>
      </c>
    </row>
    <row r="24" spans="4:10" ht="18.75" customHeight="1">
      <c r="F24" s="32" t="s">
        <v>77</v>
      </c>
      <c r="H24" s="32" t="s">
        <v>78</v>
      </c>
      <c r="J24" s="32" t="s">
        <v>79</v>
      </c>
    </row>
    <row r="25" spans="4:10" ht="18.75" customHeight="1">
      <c r="F25" s="32" t="s">
        <v>80</v>
      </c>
      <c r="H25" s="32" t="s">
        <v>27</v>
      </c>
      <c r="J25" s="32" t="s">
        <v>27</v>
      </c>
    </row>
    <row r="26" spans="4:10" ht="18.75" customHeight="1">
      <c r="F26" s="32" t="s">
        <v>27</v>
      </c>
    </row>
    <row r="29" spans="4:10" ht="18.75" customHeight="1">
      <c r="F29" s="32" t="s">
        <v>35</v>
      </c>
      <c r="H29" s="32" t="s">
        <v>36</v>
      </c>
      <c r="J29" s="32" t="s">
        <v>37</v>
      </c>
    </row>
    <row r="30" spans="4:10" ht="18.75" customHeight="1">
      <c r="F30" s="32" t="s">
        <v>64</v>
      </c>
      <c r="H30" s="32" t="s">
        <v>83</v>
      </c>
      <c r="J30" s="32" t="s">
        <v>86</v>
      </c>
    </row>
    <row r="31" spans="4:10" ht="18.75" customHeight="1">
      <c r="F31" s="32" t="s">
        <v>81</v>
      </c>
      <c r="H31" s="32" t="s">
        <v>84</v>
      </c>
      <c r="J31" s="32" t="s">
        <v>87</v>
      </c>
    </row>
    <row r="32" spans="4:10" ht="18.75" customHeight="1">
      <c r="F32" s="32" t="s">
        <v>82</v>
      </c>
      <c r="H32" s="32" t="s">
        <v>85</v>
      </c>
      <c r="J32" s="32" t="s">
        <v>88</v>
      </c>
    </row>
    <row r="33" spans="6:10" ht="18.75" customHeight="1">
      <c r="F33" s="32" t="s">
        <v>27</v>
      </c>
      <c r="H33" s="32" t="s">
        <v>27</v>
      </c>
      <c r="J33" s="32" t="s">
        <v>89</v>
      </c>
    </row>
    <row r="34" spans="6:10" ht="18.75" customHeight="1">
      <c r="J34" s="32" t="s">
        <v>90</v>
      </c>
    </row>
    <row r="35" spans="6:10" ht="18.75" customHeight="1">
      <c r="J35" s="32" t="s">
        <v>27</v>
      </c>
    </row>
    <row r="38" spans="6:10" ht="18.75" customHeight="1">
      <c r="F38" s="32" t="s">
        <v>38</v>
      </c>
      <c r="H38" s="32" t="s">
        <v>39</v>
      </c>
      <c r="J38" s="32" t="s">
        <v>40</v>
      </c>
    </row>
    <row r="39" spans="6:10" ht="18.75" customHeight="1">
      <c r="F39" s="32" t="s">
        <v>91</v>
      </c>
      <c r="H39" s="32" t="s">
        <v>102</v>
      </c>
      <c r="J39" s="32" t="s">
        <v>113</v>
      </c>
    </row>
    <row r="40" spans="6:10" ht="18.75" customHeight="1">
      <c r="F40" s="32" t="s">
        <v>92</v>
      </c>
      <c r="H40" s="32" t="s">
        <v>103</v>
      </c>
      <c r="J40" s="32" t="s">
        <v>63</v>
      </c>
    </row>
    <row r="41" spans="6:10" ht="18.75" customHeight="1">
      <c r="F41" s="32" t="s">
        <v>93</v>
      </c>
      <c r="H41" s="32" t="s">
        <v>104</v>
      </c>
      <c r="J41" s="32" t="s">
        <v>114</v>
      </c>
    </row>
    <row r="42" spans="6:10" ht="18.75" customHeight="1">
      <c r="F42" s="32" t="s">
        <v>94</v>
      </c>
      <c r="H42" s="32" t="s">
        <v>105</v>
      </c>
      <c r="J42" s="32" t="s">
        <v>27</v>
      </c>
    </row>
    <row r="43" spans="6:10" ht="18.75" customHeight="1">
      <c r="F43" s="32" t="s">
        <v>95</v>
      </c>
      <c r="H43" s="32" t="s">
        <v>106</v>
      </c>
    </row>
    <row r="44" spans="6:10" ht="18.75" customHeight="1">
      <c r="F44" s="32" t="s">
        <v>96</v>
      </c>
      <c r="H44" s="32" t="s">
        <v>107</v>
      </c>
    </row>
    <row r="45" spans="6:10" ht="18.75" customHeight="1">
      <c r="F45" s="32" t="s">
        <v>97</v>
      </c>
      <c r="H45" s="32" t="s">
        <v>81</v>
      </c>
    </row>
    <row r="46" spans="6:10" ht="18.75" customHeight="1">
      <c r="F46" s="32" t="s">
        <v>98</v>
      </c>
      <c r="H46" s="32" t="s">
        <v>108</v>
      </c>
    </row>
    <row r="47" spans="6:10" ht="18.75" customHeight="1">
      <c r="F47" s="32" t="s">
        <v>99</v>
      </c>
      <c r="H47" s="32" t="s">
        <v>109</v>
      </c>
    </row>
    <row r="48" spans="6:10" ht="18.75" customHeight="1">
      <c r="F48" s="32" t="s">
        <v>100</v>
      </c>
      <c r="H48" s="32" t="s">
        <v>110</v>
      </c>
    </row>
    <row r="49" spans="6:10" ht="18.75" customHeight="1">
      <c r="F49" s="32" t="s">
        <v>101</v>
      </c>
      <c r="H49" s="32" t="s">
        <v>111</v>
      </c>
    </row>
    <row r="50" spans="6:10" ht="18.75" customHeight="1">
      <c r="F50" s="32" t="s">
        <v>27</v>
      </c>
      <c r="H50" s="32" t="s">
        <v>112</v>
      </c>
    </row>
    <row r="51" spans="6:10" ht="18.75" customHeight="1">
      <c r="H51" s="32" t="s">
        <v>27</v>
      </c>
    </row>
    <row r="53" spans="6:10" ht="18.75" customHeight="1">
      <c r="F53" s="32" t="s">
        <v>41</v>
      </c>
      <c r="H53" s="32" t="s">
        <v>42</v>
      </c>
      <c r="J53" s="32" t="s">
        <v>43</v>
      </c>
    </row>
    <row r="54" spans="6:10" ht="18.75" customHeight="1">
      <c r="F54" s="32" t="s">
        <v>115</v>
      </c>
      <c r="H54" s="32" t="s">
        <v>119</v>
      </c>
      <c r="J54" s="32" t="s">
        <v>122</v>
      </c>
    </row>
    <row r="55" spans="6:10" ht="18.75" customHeight="1">
      <c r="F55" s="32" t="s">
        <v>116</v>
      </c>
      <c r="H55" s="32" t="s">
        <v>120</v>
      </c>
      <c r="J55" s="32" t="s">
        <v>123</v>
      </c>
    </row>
    <row r="56" spans="6:10" ht="18.75" customHeight="1">
      <c r="F56" s="32" t="s">
        <v>117</v>
      </c>
      <c r="H56" s="32" t="s">
        <v>113</v>
      </c>
      <c r="J56" s="32" t="s">
        <v>27</v>
      </c>
    </row>
    <row r="57" spans="6:10" ht="18.75" customHeight="1">
      <c r="F57" s="32" t="s">
        <v>118</v>
      </c>
      <c r="H57" s="32" t="s">
        <v>121</v>
      </c>
    </row>
    <row r="58" spans="6:10" ht="18.75" customHeight="1">
      <c r="F58" s="32" t="s">
        <v>27</v>
      </c>
      <c r="H58" s="32" t="s">
        <v>39</v>
      </c>
    </row>
    <row r="59" spans="6:10" ht="18.75" customHeight="1">
      <c r="H59" s="32" t="s">
        <v>27</v>
      </c>
    </row>
  </sheetData>
  <phoneticPr fontId="4" type="noConversion"/>
  <pageMargins left="0.7" right="0.7" top="0.75" bottom="0.75" header="0.3" footer="0.3"/>
  <pageSetup scale="64" fitToHeight="0" orientation="portrait" r:id="rId1"/>
  <drawing r:id="rId2"/>
  <picture r:id="rId3"/>
  <tableParts count="1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P40"/>
  <sheetViews>
    <sheetView showGridLines="0" workbookViewId="0"/>
  </sheetViews>
  <sheetFormatPr defaultRowHeight="14.25"/>
  <cols>
    <col min="1" max="1" width="9.140625" style="4"/>
    <col min="2" max="2" width="32.28515625" style="4" customWidth="1"/>
    <col min="3" max="16384" width="9.140625" style="4"/>
  </cols>
  <sheetData>
    <row r="1" spans="2:16">
      <c r="B1" s="4" t="s">
        <v>1</v>
      </c>
    </row>
    <row r="4" spans="2:16">
      <c r="B4" s="4" t="s">
        <v>2</v>
      </c>
      <c r="C4" s="4">
        <v>3</v>
      </c>
    </row>
    <row r="6" spans="2:16">
      <c r="C6" s="4" t="s">
        <v>6</v>
      </c>
      <c r="D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I6" s="4" t="s">
        <v>12</v>
      </c>
      <c r="J6" s="4" t="s">
        <v>13</v>
      </c>
      <c r="K6" s="4" t="s">
        <v>14</v>
      </c>
      <c r="L6" s="4" t="s">
        <v>15</v>
      </c>
      <c r="M6" s="4" t="s">
        <v>16</v>
      </c>
      <c r="N6" s="4" t="s">
        <v>17</v>
      </c>
      <c r="O6" s="4" t="s">
        <v>18</v>
      </c>
      <c r="P6" s="4" t="s">
        <v>19</v>
      </c>
    </row>
    <row r="7" spans="2:16">
      <c r="B7" s="4" t="e">
        <f>LOWER(预算!#REF!)</f>
        <v>#REF!</v>
      </c>
      <c r="C7" s="33">
        <f>SUM(tblExpenseCategory_15[1 月])</f>
        <v>0</v>
      </c>
      <c r="D7" s="33">
        <f>SUM(tblExpenseCategory_15[2 月])</f>
        <v>0</v>
      </c>
      <c r="E7" s="33">
        <f>SUM(tblExpenseCategory_15[3 月])</f>
        <v>0</v>
      </c>
      <c r="F7" s="33">
        <f>SUM(tblExpenseCategory_15[4 月])</f>
        <v>0</v>
      </c>
      <c r="G7" s="33">
        <f>SUM(tblExpenseCategory_15[5 月])</f>
        <v>0</v>
      </c>
      <c r="H7" s="33">
        <f>SUM(tblExpenseCategory_15[6 月])</f>
        <v>0</v>
      </c>
      <c r="I7" s="33">
        <f>SUM(tblExpenseCategory_15[7 月])</f>
        <v>0</v>
      </c>
      <c r="J7" s="33">
        <f>SUM(tblExpenseCategory_15[8 月])</f>
        <v>0</v>
      </c>
      <c r="K7" s="33">
        <f>SUM(tblExpenseCategory_15[9 月])</f>
        <v>0</v>
      </c>
      <c r="L7" s="33">
        <f>SUM(tblExpenseCategory_15[10 月])</f>
        <v>0</v>
      </c>
      <c r="M7" s="33">
        <f>SUM(tblExpenseCategory_15[11 月])</f>
        <v>0</v>
      </c>
      <c r="N7" s="33">
        <f>SUM(tblExpenseCategory_15[12 月])</f>
        <v>0</v>
      </c>
      <c r="O7" s="33">
        <f>SUM(tblExpenseCategory_15[年])</f>
        <v>0</v>
      </c>
      <c r="P7" s="33">
        <f>SUM(tblExpenseCategory_15[平均])</f>
        <v>0</v>
      </c>
    </row>
    <row r="8" spans="2:16">
      <c r="B8" s="4" t="str">
        <f>LOWER(预算!B120)</f>
        <v xml:space="preserve"> </v>
      </c>
      <c r="C8" s="33">
        <f>SUM(tblExpenseCategory_14[1 月])</f>
        <v>0</v>
      </c>
      <c r="D8" s="33">
        <f>SUM(tblExpenseCategory_14[2 月])</f>
        <v>0</v>
      </c>
      <c r="E8" s="33">
        <f>SUM(tblExpenseCategory_14[3 月])</f>
        <v>0</v>
      </c>
      <c r="F8" s="33">
        <f>SUM(tblExpenseCategory_14[4 月])</f>
        <v>0</v>
      </c>
      <c r="G8" s="33">
        <f>SUM(tblExpenseCategory_14[5 月])</f>
        <v>0</v>
      </c>
      <c r="H8" s="33">
        <f>SUM(tblExpenseCategory_14[6 月])</f>
        <v>0</v>
      </c>
      <c r="I8" s="33">
        <f>SUM(tblExpenseCategory_14[7 月])</f>
        <v>0</v>
      </c>
      <c r="J8" s="33">
        <f>SUM(tblExpenseCategory_14[8 月])</f>
        <v>0</v>
      </c>
      <c r="K8" s="33">
        <f>SUM(tblExpenseCategory_14[9 月])</f>
        <v>0</v>
      </c>
      <c r="L8" s="33">
        <f>SUM(tblExpenseCategory_14[10 月])</f>
        <v>0</v>
      </c>
      <c r="M8" s="33">
        <f>SUM(tblExpenseCategory_14[11 月])</f>
        <v>0</v>
      </c>
      <c r="N8" s="33">
        <f>SUM(tblExpenseCategory_14[12 月])</f>
        <v>0</v>
      </c>
      <c r="O8" s="33">
        <f>SUM(tblExpenseCategory_14[年])</f>
        <v>0</v>
      </c>
      <c r="P8" s="33">
        <f>SUM(tblExpenseCategory_14[平均])</f>
        <v>0</v>
      </c>
    </row>
    <row r="9" spans="2:16">
      <c r="B9" s="4" t="str">
        <f>LOWER(预算!B113)</f>
        <v xml:space="preserve"> </v>
      </c>
      <c r="C9" s="33">
        <f>SUM(tblExpenseCategory_13[1 月])</f>
        <v>0</v>
      </c>
      <c r="D9" s="33">
        <f>SUM(tblExpenseCategory_13[2 月])</f>
        <v>0</v>
      </c>
      <c r="E9" s="33">
        <f>SUM(tblExpenseCategory_13[3 月])</f>
        <v>0</v>
      </c>
      <c r="F9" s="33">
        <f>SUM(tblExpenseCategory_13[4 月])</f>
        <v>0</v>
      </c>
      <c r="G9" s="33">
        <f>SUM(tblExpenseCategory_13[5 月])</f>
        <v>0</v>
      </c>
      <c r="H9" s="33">
        <f>SUM(tblExpenseCategory_13[6 月])</f>
        <v>0</v>
      </c>
      <c r="I9" s="33">
        <f>SUM(tblExpenseCategory_13[7 月])</f>
        <v>0</v>
      </c>
      <c r="J9" s="33">
        <f>SUM(tblExpenseCategory_13[8 月])</f>
        <v>0</v>
      </c>
      <c r="K9" s="33">
        <f>SUM(tblExpenseCategory_13[9 月])</f>
        <v>0</v>
      </c>
      <c r="L9" s="33">
        <f>SUM(tblExpenseCategory_13[10 月])</f>
        <v>0</v>
      </c>
      <c r="M9" s="33">
        <f>SUM(tblExpenseCategory_13[11 月])</f>
        <v>0</v>
      </c>
      <c r="N9" s="33">
        <f>SUM(tblExpenseCategory_13[12 月])</f>
        <v>0</v>
      </c>
      <c r="O9" s="33">
        <f>SUM(tblExpenseCategory_13[年])</f>
        <v>0</v>
      </c>
      <c r="P9" s="33">
        <f>SUM(tblExpenseCategory_13[平均])</f>
        <v>0</v>
      </c>
    </row>
    <row r="10" spans="2:16">
      <c r="B10" s="4" t="str">
        <f>LOWER(预算!B106)</f>
        <v xml:space="preserve"> </v>
      </c>
      <c r="C10" s="33">
        <f>SUM(tblExpenseCategory_12[1 月])</f>
        <v>0</v>
      </c>
      <c r="D10" s="33">
        <f>SUM(tblExpenseCategory_12[2 月])</f>
        <v>0</v>
      </c>
      <c r="E10" s="33">
        <f>SUM(tblExpenseCategory_12[3 月])</f>
        <v>0</v>
      </c>
      <c r="F10" s="33">
        <f>SUM(tblExpenseCategory_12[4 月])</f>
        <v>0</v>
      </c>
      <c r="G10" s="33">
        <f>SUM(tblExpenseCategory_12[5 月])</f>
        <v>0</v>
      </c>
      <c r="H10" s="33">
        <f>SUM(tblExpenseCategory_12[6 月])</f>
        <v>0</v>
      </c>
      <c r="I10" s="33">
        <f>SUM(tblExpenseCategory_12[7 月])</f>
        <v>0</v>
      </c>
      <c r="J10" s="33">
        <f>SUM(tblExpenseCategory_12[8 月])</f>
        <v>0</v>
      </c>
      <c r="K10" s="33">
        <f>SUM(tblExpenseCategory_12[9 月])</f>
        <v>0</v>
      </c>
      <c r="L10" s="33">
        <f>SUM(tblExpenseCategory_12[10 月])</f>
        <v>0</v>
      </c>
      <c r="M10" s="33">
        <f>SUM(tblExpenseCategory_12[11 月])</f>
        <v>0</v>
      </c>
      <c r="N10" s="33">
        <f>SUM(tblExpenseCategory_12[12 月])</f>
        <v>0</v>
      </c>
      <c r="O10" s="33">
        <f>SUM(tblExpenseCategory_12[年])</f>
        <v>0</v>
      </c>
      <c r="P10" s="33">
        <f>SUM(tblExpenseCategory_12[平均])</f>
        <v>0</v>
      </c>
    </row>
    <row r="11" spans="2:16">
      <c r="B11" s="4" t="str">
        <f>LOWER(预算!B99)</f>
        <v xml:space="preserve"> </v>
      </c>
      <c r="C11" s="33">
        <f>SUM(tblExpenseCategory_11[1 月])</f>
        <v>0</v>
      </c>
      <c r="D11" s="33">
        <f>SUM(tblExpenseCategory_11[2 月])</f>
        <v>0</v>
      </c>
      <c r="E11" s="33">
        <f>SUM(tblExpenseCategory_11[3 月])</f>
        <v>0</v>
      </c>
      <c r="F11" s="33">
        <f>SUM(tblExpenseCategory_11[4 月])</f>
        <v>0</v>
      </c>
      <c r="G11" s="33">
        <f>SUM(tblExpenseCategory_11[5 月])</f>
        <v>0</v>
      </c>
      <c r="H11" s="33">
        <f>SUM(tblExpenseCategory_11[6 月])</f>
        <v>0</v>
      </c>
      <c r="I11" s="33">
        <f>SUM(tblExpenseCategory_11[7 月])</f>
        <v>0</v>
      </c>
      <c r="J11" s="33">
        <f>SUM(tblExpenseCategory_11[8 月])</f>
        <v>0</v>
      </c>
      <c r="K11" s="33">
        <f>SUM(tblExpenseCategory_11[9 月])</f>
        <v>0</v>
      </c>
      <c r="L11" s="33">
        <f>SUM(tblExpenseCategory_11[10 月])</f>
        <v>0</v>
      </c>
      <c r="M11" s="33">
        <f>SUM(tblExpenseCategory_11[11 月])</f>
        <v>0</v>
      </c>
      <c r="N11" s="33">
        <f>SUM(tblExpenseCategory_11[12 月])</f>
        <v>0</v>
      </c>
      <c r="O11" s="33">
        <f>SUM(tblExpenseCategory_11[年])</f>
        <v>0</v>
      </c>
      <c r="P11" s="33">
        <f>SUM(tblExpenseCategory_11[平均])</f>
        <v>0</v>
      </c>
    </row>
    <row r="12" spans="2:16">
      <c r="B12" s="4" t="str">
        <f>LOWER(预算!B92)</f>
        <v>债务</v>
      </c>
      <c r="C12" s="33">
        <f>SUM(tblExpenseCategory_10[1 月])</f>
        <v>6500</v>
      </c>
      <c r="D12" s="33">
        <f>SUM(tblExpenseCategory_10[2 月])</f>
        <v>2000</v>
      </c>
      <c r="E12" s="33">
        <f>SUM(tblExpenseCategory_10[3 月])</f>
        <v>2000</v>
      </c>
      <c r="F12" s="33">
        <f>SUM(tblExpenseCategory_10[4 月])</f>
        <v>6500</v>
      </c>
      <c r="G12" s="33">
        <f>SUM(tblExpenseCategory_10[5 月])</f>
        <v>2000</v>
      </c>
      <c r="H12" s="33">
        <f>SUM(tblExpenseCategory_10[6 月])</f>
        <v>2000</v>
      </c>
      <c r="I12" s="33">
        <f>SUM(tblExpenseCategory_10[7 月])</f>
        <v>6500</v>
      </c>
      <c r="J12" s="33">
        <f>SUM(tblExpenseCategory_10[8 月])</f>
        <v>2000</v>
      </c>
      <c r="K12" s="33">
        <f>SUM(tblExpenseCategory_10[9 月])</f>
        <v>2000</v>
      </c>
      <c r="L12" s="33">
        <f>SUM(tblExpenseCategory_10[10 月])</f>
        <v>6500</v>
      </c>
      <c r="M12" s="33">
        <f>SUM(tblExpenseCategory_10[11 月])</f>
        <v>2000</v>
      </c>
      <c r="N12" s="33">
        <f>SUM(tblExpenseCategory_10[12 月])</f>
        <v>2000</v>
      </c>
      <c r="O12" s="33">
        <f>SUM(tblExpenseCategory_10[年])</f>
        <v>42000</v>
      </c>
      <c r="P12" s="33">
        <f>SUM(tblExpenseCategory_10[平均])</f>
        <v>3500</v>
      </c>
    </row>
    <row r="13" spans="2:16">
      <c r="B13" s="4" t="str">
        <f>LOWER(预算!B85)</f>
        <v>储蓄</v>
      </c>
      <c r="C13" s="33">
        <f>SUM(tblExpenseCategory_09[1 月])</f>
        <v>8000</v>
      </c>
      <c r="D13" s="33">
        <f>SUM(tblExpenseCategory_09[2 月])</f>
        <v>8000</v>
      </c>
      <c r="E13" s="33">
        <f>SUM(tblExpenseCategory_09[3 月])</f>
        <v>8000</v>
      </c>
      <c r="F13" s="33">
        <f>SUM(tblExpenseCategory_09[4 月])</f>
        <v>8000</v>
      </c>
      <c r="G13" s="33">
        <f>SUM(tblExpenseCategory_09[5 月])</f>
        <v>8000</v>
      </c>
      <c r="H13" s="33">
        <f>SUM(tblExpenseCategory_09[6 月])</f>
        <v>5000</v>
      </c>
      <c r="I13" s="33">
        <f>SUM(tblExpenseCategory_09[7 月])</f>
        <v>5000</v>
      </c>
      <c r="J13" s="33">
        <f>SUM(tblExpenseCategory_09[8 月])</f>
        <v>5000</v>
      </c>
      <c r="K13" s="33">
        <f>SUM(tblExpenseCategory_09[9 月])</f>
        <v>8000</v>
      </c>
      <c r="L13" s="33">
        <f>SUM(tblExpenseCategory_09[10 月])</f>
        <v>8000</v>
      </c>
      <c r="M13" s="33">
        <f>SUM(tblExpenseCategory_09[11 月])</f>
        <v>8000</v>
      </c>
      <c r="N13" s="33">
        <f>SUM(tblExpenseCategory_09[12 月])</f>
        <v>8000</v>
      </c>
      <c r="O13" s="33">
        <f>SUM(tblExpenseCategory_09[年])</f>
        <v>87000</v>
      </c>
      <c r="P13" s="33">
        <f>SUM(tblExpenseCategory_09[平均])</f>
        <v>7250</v>
      </c>
    </row>
    <row r="14" spans="2:16">
      <c r="B14" s="4" t="str">
        <f>LOWER(预算!B78)</f>
        <v>慈善</v>
      </c>
      <c r="C14" s="33">
        <f>SUM(tblExpenseCategory_08[1 月])</f>
        <v>0</v>
      </c>
      <c r="D14" s="33">
        <f>SUM(tblExpenseCategory_08[2 月])</f>
        <v>1000</v>
      </c>
      <c r="E14" s="33">
        <f>SUM(tblExpenseCategory_08[3 月])</f>
        <v>1000</v>
      </c>
      <c r="F14" s="33">
        <f>SUM(tblExpenseCategory_08[4 月])</f>
        <v>1000</v>
      </c>
      <c r="G14" s="33">
        <f>SUM(tblExpenseCategory_08[5 月])</f>
        <v>1000</v>
      </c>
      <c r="H14" s="33">
        <f>SUM(tblExpenseCategory_08[6 月])</f>
        <v>1000</v>
      </c>
      <c r="I14" s="33">
        <f>SUM(tblExpenseCategory_08[7 月])</f>
        <v>1000</v>
      </c>
      <c r="J14" s="33">
        <f>SUM(tblExpenseCategory_08[8 月])</f>
        <v>1000</v>
      </c>
      <c r="K14" s="33">
        <f>SUM(tblExpenseCategory_08[9 月])</f>
        <v>1000</v>
      </c>
      <c r="L14" s="33">
        <f>SUM(tblExpenseCategory_08[10 月])</f>
        <v>1000</v>
      </c>
      <c r="M14" s="33">
        <f>SUM(tblExpenseCategory_08[11 月])</f>
        <v>1000</v>
      </c>
      <c r="N14" s="33">
        <f>SUM(tblExpenseCategory_08[12 月])</f>
        <v>1000</v>
      </c>
      <c r="O14" s="33">
        <f>SUM(tblExpenseCategory_08[年])</f>
        <v>11000</v>
      </c>
      <c r="P14" s="33">
        <f>SUM(tblExpenseCategory_08[平均])</f>
        <v>916.66666666666674</v>
      </c>
    </row>
    <row r="15" spans="2:16">
      <c r="B15" s="4" t="str">
        <f>LOWER(预算!B71)</f>
        <v>教育</v>
      </c>
      <c r="C15" s="33">
        <f>SUM(tblExpenseCategory_07[1 月])</f>
        <v>0</v>
      </c>
      <c r="D15" s="33">
        <f>SUM(tblExpenseCategory_07[2 月])</f>
        <v>0</v>
      </c>
      <c r="E15" s="33">
        <f>SUM(tblExpenseCategory_07[3 月])</f>
        <v>6250</v>
      </c>
      <c r="F15" s="33">
        <f>SUM(tblExpenseCategory_07[4 月])</f>
        <v>0</v>
      </c>
      <c r="G15" s="33">
        <f>SUM(tblExpenseCategory_07[5 月])</f>
        <v>0</v>
      </c>
      <c r="H15" s="33">
        <f>SUM(tblExpenseCategory_07[6 月])</f>
        <v>0</v>
      </c>
      <c r="I15" s="33">
        <f>SUM(tblExpenseCategory_07[7 月])</f>
        <v>0</v>
      </c>
      <c r="J15" s="33">
        <f>SUM(tblExpenseCategory_07[8 月])</f>
        <v>0</v>
      </c>
      <c r="K15" s="33">
        <f>SUM(tblExpenseCategory_07[9 月])</f>
        <v>6250</v>
      </c>
      <c r="L15" s="33">
        <f>SUM(tblExpenseCategory_07[10 月])</f>
        <v>0</v>
      </c>
      <c r="M15" s="33">
        <f>SUM(tblExpenseCategory_07[11 月])</f>
        <v>0</v>
      </c>
      <c r="N15" s="33">
        <f>SUM(tblExpenseCategory_07[12 月])</f>
        <v>0</v>
      </c>
      <c r="O15" s="33">
        <f>SUM(tblExpenseCategory_07[年])</f>
        <v>12500</v>
      </c>
      <c r="P15" s="33">
        <f>SUM(tblExpenseCategory_07[平均])</f>
        <v>1041.6666666666665</v>
      </c>
    </row>
    <row r="16" spans="2:16">
      <c r="B16" s="4" t="str">
        <f>LOWER(预算!B64)</f>
        <v>保险</v>
      </c>
      <c r="C16" s="33">
        <f>SUM(tblExpenseCategory_06[1 月])</f>
        <v>9750</v>
      </c>
      <c r="D16" s="33">
        <f>SUM(tblExpenseCategory_06[2 月])</f>
        <v>9750</v>
      </c>
      <c r="E16" s="33">
        <f>SUM(tblExpenseCategory_06[3 月])</f>
        <v>9750</v>
      </c>
      <c r="F16" s="33">
        <f>SUM(tblExpenseCategory_06[4 月])</f>
        <v>9750</v>
      </c>
      <c r="G16" s="33">
        <f>SUM(tblExpenseCategory_06[5 月])</f>
        <v>9750</v>
      </c>
      <c r="H16" s="33">
        <f>SUM(tblExpenseCategory_06[6 月])</f>
        <v>9750</v>
      </c>
      <c r="I16" s="33">
        <f>SUM(tblExpenseCategory_06[7 月])</f>
        <v>9750</v>
      </c>
      <c r="J16" s="33">
        <f>SUM(tblExpenseCategory_06[8 月])</f>
        <v>9750</v>
      </c>
      <c r="K16" s="33">
        <f>SUM(tblExpenseCategory_06[9 月])</f>
        <v>9750</v>
      </c>
      <c r="L16" s="33">
        <f>SUM(tblExpenseCategory_06[10 月])</f>
        <v>9750</v>
      </c>
      <c r="M16" s="33">
        <f>SUM(tblExpenseCategory_06[11 月])</f>
        <v>9750</v>
      </c>
      <c r="N16" s="33">
        <f>SUM(tblExpenseCategory_06[12 月])</f>
        <v>9750</v>
      </c>
      <c r="O16" s="33">
        <f>SUM(tblExpenseCategory_06[年])</f>
        <v>117000</v>
      </c>
      <c r="P16" s="33">
        <f>SUM(tblExpenseCategory_06[平均])</f>
        <v>9750</v>
      </c>
    </row>
    <row r="17" spans="2:16">
      <c r="B17" s="4" t="str">
        <f>LOWER(预算!B57)</f>
        <v>健康</v>
      </c>
      <c r="C17" s="33">
        <f>SUM(tblExpenseCategory_05[1 月])</f>
        <v>250</v>
      </c>
      <c r="D17" s="33">
        <f>SUM(tblExpenseCategory_05[2 月])</f>
        <v>600</v>
      </c>
      <c r="E17" s="33">
        <f>SUM(tblExpenseCategory_05[3 月])</f>
        <v>1750</v>
      </c>
      <c r="F17" s="33">
        <f>SUM(tblExpenseCategory_05[4 月])</f>
        <v>250</v>
      </c>
      <c r="G17" s="33">
        <f>SUM(tblExpenseCategory_05[5 月])</f>
        <v>600</v>
      </c>
      <c r="H17" s="33">
        <f>SUM(tblExpenseCategory_05[6 月])</f>
        <v>600</v>
      </c>
      <c r="I17" s="33">
        <f>SUM(tblExpenseCategory_05[7 月])</f>
        <v>600</v>
      </c>
      <c r="J17" s="33">
        <f>SUM(tblExpenseCategory_05[8 月])</f>
        <v>250</v>
      </c>
      <c r="K17" s="33">
        <f>SUM(tblExpenseCategory_05[9 月])</f>
        <v>1750</v>
      </c>
      <c r="L17" s="33">
        <f>SUM(tblExpenseCategory_05[10 月])</f>
        <v>600</v>
      </c>
      <c r="M17" s="33">
        <f>SUM(tblExpenseCategory_05[11 月])</f>
        <v>250</v>
      </c>
      <c r="N17" s="33">
        <f>SUM(tblExpenseCategory_05[12 月])</f>
        <v>250</v>
      </c>
      <c r="O17" s="33">
        <f>SUM(tblExpenseCategory_05[年])</f>
        <v>7750</v>
      </c>
      <c r="P17" s="33">
        <f>SUM(tblExpenseCategory_05[平均])</f>
        <v>645.83333333333337</v>
      </c>
    </row>
    <row r="18" spans="2:16">
      <c r="B18" s="4" t="str">
        <f>LOWER(预算!B48)</f>
        <v>交通</v>
      </c>
      <c r="C18" s="33">
        <f>SUM(tblExpenseCategory_04[1 月])</f>
        <v>11100</v>
      </c>
      <c r="D18" s="33">
        <f>SUM(tblExpenseCategory_04[2 月])</f>
        <v>10250</v>
      </c>
      <c r="E18" s="33">
        <f>SUM(tblExpenseCategory_04[3 月])</f>
        <v>9250</v>
      </c>
      <c r="F18" s="33">
        <f>SUM(tblExpenseCategory_04[4 月])</f>
        <v>10250</v>
      </c>
      <c r="G18" s="33">
        <f>SUM(tblExpenseCategory_04[5 月])</f>
        <v>13250</v>
      </c>
      <c r="H18" s="33">
        <f>SUM(tblExpenseCategory_04[6 月])</f>
        <v>12000</v>
      </c>
      <c r="I18" s="33">
        <f>SUM(tblExpenseCategory_04[7 月])</f>
        <v>11000</v>
      </c>
      <c r="J18" s="33">
        <f>SUM(tblExpenseCategory_04[8 月])</f>
        <v>12000</v>
      </c>
      <c r="K18" s="33">
        <f>SUM(tblExpenseCategory_04[9 月])</f>
        <v>11500</v>
      </c>
      <c r="L18" s="33">
        <f>SUM(tblExpenseCategory_04[10 月])</f>
        <v>10250</v>
      </c>
      <c r="M18" s="33">
        <f>SUM(tblExpenseCategory_04[11 月])</f>
        <v>9250</v>
      </c>
      <c r="N18" s="33">
        <f>SUM(tblExpenseCategory_04[12 月])</f>
        <v>9250</v>
      </c>
      <c r="O18" s="33">
        <f>SUM(tblExpenseCategory_04[年])</f>
        <v>129350</v>
      </c>
      <c r="P18" s="33">
        <f>SUM(tblExpenseCategory_04[平均])</f>
        <v>10779.166666666666</v>
      </c>
    </row>
    <row r="19" spans="2:16">
      <c r="B19" s="4" t="str">
        <f>LOWER(预算!B39)</f>
        <v>孩子</v>
      </c>
      <c r="C19" s="33">
        <f>SUM(tblExpenseCategory_03[1 月])</f>
        <v>23730</v>
      </c>
      <c r="D19" s="33">
        <f>SUM(tblExpenseCategory_03[2 月])</f>
        <v>5000</v>
      </c>
      <c r="E19" s="33">
        <f>SUM(tblExpenseCategory_03[3 月])</f>
        <v>3500</v>
      </c>
      <c r="F19" s="33">
        <f>SUM(tblExpenseCategory_03[4 月])</f>
        <v>2500</v>
      </c>
      <c r="G19" s="33">
        <f>SUM(tblExpenseCategory_03[5 月])</f>
        <v>3500</v>
      </c>
      <c r="H19" s="33">
        <f>SUM(tblExpenseCategory_03[6 月])</f>
        <v>4500</v>
      </c>
      <c r="I19" s="33">
        <f>SUM(tblExpenseCategory_03[7 月])</f>
        <v>2000</v>
      </c>
      <c r="J19" s="33">
        <f>SUM(tblExpenseCategory_03[8 月])</f>
        <v>5450</v>
      </c>
      <c r="K19" s="33">
        <f>SUM(tblExpenseCategory_03[9 月])</f>
        <v>3500</v>
      </c>
      <c r="L19" s="33">
        <f>SUM(tblExpenseCategory_03[10 月])</f>
        <v>3500</v>
      </c>
      <c r="M19" s="33">
        <f>SUM(tblExpenseCategory_03[11 月])</f>
        <v>2500</v>
      </c>
      <c r="N19" s="33">
        <f>SUM(tblExpenseCategory_03[12 月])</f>
        <v>3500</v>
      </c>
      <c r="O19" s="33">
        <f>SUM(tblExpenseCategory_03[年])</f>
        <v>63180</v>
      </c>
      <c r="P19" s="33">
        <f>SUM(tblExpenseCategory_03[平均])</f>
        <v>5265</v>
      </c>
    </row>
    <row r="20" spans="2:16">
      <c r="B20" s="4" t="str">
        <f>LOWER(预算!B30)</f>
        <v>日常生活</v>
      </c>
      <c r="C20" s="33">
        <f>SUM(tblExpenseCategory_02[1 月])</f>
        <v>7950</v>
      </c>
      <c r="D20" s="33">
        <f>SUM(tblExpenseCategory_02[2 月])</f>
        <v>3750</v>
      </c>
      <c r="E20" s="33">
        <f>SUM(tblExpenseCategory_02[3 月])</f>
        <v>5500</v>
      </c>
      <c r="F20" s="33">
        <f>SUM(tblExpenseCategory_02[4 月])</f>
        <v>8250</v>
      </c>
      <c r="G20" s="33">
        <f>SUM(tblExpenseCategory_02[5 月])</f>
        <v>5000</v>
      </c>
      <c r="H20" s="33">
        <f>SUM(tblExpenseCategory_02[6 月])</f>
        <v>4500</v>
      </c>
      <c r="I20" s="33">
        <f>SUM(tblExpenseCategory_02[7 月])</f>
        <v>8750</v>
      </c>
      <c r="J20" s="33">
        <f>SUM(tblExpenseCategory_02[8 月])</f>
        <v>4750</v>
      </c>
      <c r="K20" s="33">
        <f>SUM(tblExpenseCategory_02[9 月])</f>
        <v>4000</v>
      </c>
      <c r="L20" s="33">
        <f>SUM(tblExpenseCategory_02[10 月])</f>
        <v>8250</v>
      </c>
      <c r="M20" s="33">
        <f>SUM(tblExpenseCategory_02[11 月])</f>
        <v>5750</v>
      </c>
      <c r="N20" s="33">
        <f>SUM(tblExpenseCategory_02[12 月])</f>
        <v>3750</v>
      </c>
      <c r="O20" s="33">
        <f>SUM(tblExpenseCategory_02[年])</f>
        <v>70200</v>
      </c>
      <c r="P20" s="33">
        <f>SUM(tblExpenseCategory_02[平均])</f>
        <v>5850</v>
      </c>
    </row>
    <row r="21" spans="2:16">
      <c r="B21" s="4" t="str">
        <f>LOWER(预算!B21)</f>
        <v>住宅</v>
      </c>
      <c r="C21" s="33">
        <f>SUM(tblExpenseCategory_01[1 月])</f>
        <v>12080</v>
      </c>
      <c r="D21" s="33">
        <f>SUM(tblExpenseCategory_01[2 月])</f>
        <v>12080</v>
      </c>
      <c r="E21" s="33">
        <f>SUM(tblExpenseCategory_01[3 月])</f>
        <v>12330</v>
      </c>
      <c r="F21" s="33">
        <f>SUM(tblExpenseCategory_01[4 月])</f>
        <v>12080</v>
      </c>
      <c r="G21" s="33">
        <f>SUM(tblExpenseCategory_01[5 月])</f>
        <v>11580</v>
      </c>
      <c r="H21" s="33">
        <f>SUM(tblExpenseCategory_01[6 月])</f>
        <v>11830</v>
      </c>
      <c r="I21" s="33">
        <f>SUM(tblExpenseCategory_01[7 月])</f>
        <v>12830</v>
      </c>
      <c r="J21" s="33">
        <f>SUM(tblExpenseCategory_01[8 月])</f>
        <v>13330</v>
      </c>
      <c r="K21" s="33">
        <f>SUM(tblExpenseCategory_01[9 月])</f>
        <v>12080</v>
      </c>
      <c r="L21" s="33">
        <f>SUM(tblExpenseCategory_01[10 月])</f>
        <v>11580</v>
      </c>
      <c r="M21" s="33">
        <f>SUM(tblExpenseCategory_01[11 月])</f>
        <v>12080</v>
      </c>
      <c r="N21" s="33">
        <f>SUM(tblExpenseCategory_01[12 月])</f>
        <v>12080</v>
      </c>
      <c r="O21" s="33">
        <f>SUM(tblExpenseCategory_01[年])</f>
        <v>145960</v>
      </c>
      <c r="P21" s="33">
        <f>SUM(tblExpenseCategory_01[平均])</f>
        <v>12163.333333333334</v>
      </c>
    </row>
    <row r="22" spans="2:16"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</row>
    <row r="23" spans="2:16"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</row>
    <row r="24" spans="2:16"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</row>
    <row r="25" spans="2:16"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</row>
    <row r="26" spans="2:16">
      <c r="B26" s="4" t="s">
        <v>3</v>
      </c>
      <c r="C26" s="33">
        <f>SUM(预算!$C$8:C$8)</f>
        <v>-37140</v>
      </c>
      <c r="D26" s="33">
        <f>SUM(预算!$C$8:D$8)</f>
        <v>760</v>
      </c>
      <c r="E26" s="33">
        <f>SUM(预算!$C$8:E$8)</f>
        <v>-18570</v>
      </c>
      <c r="F26" s="33">
        <f>SUM(预算!$C$8:F$8)</f>
        <v>-36700</v>
      </c>
      <c r="G26" s="33">
        <f>SUM(预算!$C$8:G$8)</f>
        <v>-1380</v>
      </c>
      <c r="H26" s="33">
        <f>SUM(预算!$C$8:H$8)</f>
        <v>-37310</v>
      </c>
      <c r="I26" s="33">
        <f>SUM(预算!$C$8:I$8)</f>
        <v>-79740</v>
      </c>
      <c r="J26" s="33">
        <f>SUM(预算!$C$8:J$8)</f>
        <v>-68270</v>
      </c>
      <c r="K26" s="33">
        <f>SUM(预算!$C$8:K$8)</f>
        <v>-88100</v>
      </c>
      <c r="L26" s="33">
        <f>SUM(预算!$C$8:L$8)</f>
        <v>-107530</v>
      </c>
      <c r="M26" s="33">
        <f>SUM(预算!$C$8:M$8)</f>
        <v>-68110</v>
      </c>
      <c r="N26" s="33">
        <f>SUM(预算!$C$8:N$8)</f>
        <v>-77690</v>
      </c>
      <c r="O26" s="33">
        <f>SUM(预算!$C$8:O$8)</f>
        <v>-155380</v>
      </c>
      <c r="P26" s="33"/>
    </row>
    <row r="27" spans="2:16">
      <c r="P27" s="33"/>
    </row>
    <row r="28" spans="2:16">
      <c r="B28" s="4" t="s">
        <v>4</v>
      </c>
      <c r="C28" s="33" t="e">
        <f>IF(预算!C$8&lt;0,NA(),IF(period+2&lt;&gt;COLUMN(预算!C$8),NA(),预算!C$8))</f>
        <v>#N/A</v>
      </c>
      <c r="D28" s="33" t="e">
        <f>IF(预算!D$8&lt;0,NA(),IF(period+2&lt;&gt;COLUMN(预算!D$8),NA(),预算!D$8))</f>
        <v>#N/A</v>
      </c>
      <c r="E28" s="33" t="e">
        <f>IF(预算!E$8&lt;0,NA(),IF(period+2&lt;&gt;COLUMN(预算!E$8),NA(),预算!E$8))</f>
        <v>#N/A</v>
      </c>
      <c r="F28" s="33" t="e">
        <f>IF(预算!F$8&lt;0,NA(),IF(period+2&lt;&gt;COLUMN(预算!F$8),NA(),预算!F$8))</f>
        <v>#N/A</v>
      </c>
      <c r="G28" s="33" t="e">
        <f>IF(预算!G$8&lt;0,NA(),IF(period+2&lt;&gt;COLUMN(预算!G$8),NA(),预算!G$8))</f>
        <v>#N/A</v>
      </c>
      <c r="H28" s="33" t="e">
        <f>IF(预算!H$8&lt;0,NA(),IF(period+2&lt;&gt;COLUMN(预算!H$8),NA(),预算!H$8))</f>
        <v>#N/A</v>
      </c>
      <c r="I28" s="33" t="e">
        <f>IF(预算!I$8&lt;0,NA(),IF(period+2&lt;&gt;COLUMN(预算!I$8),NA(),预算!I$8))</f>
        <v>#N/A</v>
      </c>
      <c r="J28" s="33" t="e">
        <f>IF(预算!J$8&lt;0,NA(),IF(period+2&lt;&gt;COLUMN(预算!J$8),NA(),预算!J$8))</f>
        <v>#N/A</v>
      </c>
      <c r="K28" s="33" t="e">
        <f>IF(预算!K$8&lt;0,NA(),IF(period+2&lt;&gt;COLUMN(预算!K$8),NA(),预算!K$8))</f>
        <v>#N/A</v>
      </c>
      <c r="L28" s="33" t="e">
        <f>IF(预算!L$8&lt;0,NA(),IF(period+2&lt;&gt;COLUMN(预算!L$8),NA(),预算!L$8))</f>
        <v>#N/A</v>
      </c>
      <c r="M28" s="33" t="e">
        <f>IF(预算!M$8&lt;0,NA(),IF(period+2&lt;&gt;COLUMN(预算!M$8),NA(),预算!M$8))</f>
        <v>#N/A</v>
      </c>
      <c r="N28" s="33" t="e">
        <f>IF(预算!N$8&lt;0,NA(),IF(period+2&lt;&gt;COLUMN(预算!N$8),NA(),预算!N$8))</f>
        <v>#N/A</v>
      </c>
      <c r="O28" s="33" t="e">
        <f>IF(预算!O$8&lt;0,NA(),IF(period+2&lt;&gt;COLUMN(预算!O$8),NA(),预算!O$8))</f>
        <v>#N/A</v>
      </c>
    </row>
    <row r="29" spans="2:16">
      <c r="B29" s="4" t="s">
        <v>5</v>
      </c>
      <c r="C29" s="33" t="e">
        <f>IF(预算!C$8&gt;=0,NA(),IF(period+2&lt;&gt;COLUMN(预算!C$8),NA(),预算!C$8))</f>
        <v>#N/A</v>
      </c>
      <c r="D29" s="33" t="e">
        <f>IF(预算!D$8&gt;=0,NA(),IF(period+2&lt;&gt;COLUMN(预算!D$8),NA(),预算!D$8))</f>
        <v>#N/A</v>
      </c>
      <c r="E29" s="33">
        <f>IF(预算!E$8&gt;=0,NA(),IF(period+2&lt;&gt;COLUMN(预算!E$8),NA(),预算!E$8))</f>
        <v>-19330</v>
      </c>
      <c r="F29" s="33" t="e">
        <f>IF(预算!F$8&gt;=0,NA(),IF(period+2&lt;&gt;COLUMN(预算!F$8),NA(),预算!F$8))</f>
        <v>#N/A</v>
      </c>
      <c r="G29" s="33" t="e">
        <f>IF(预算!G$8&gt;=0,NA(),IF(period+2&lt;&gt;COLUMN(预算!G$8),NA(),预算!G$8))</f>
        <v>#N/A</v>
      </c>
      <c r="H29" s="33" t="e">
        <f>IF(预算!H$8&gt;=0,NA(),IF(period+2&lt;&gt;COLUMN(预算!H$8),NA(),预算!H$8))</f>
        <v>#N/A</v>
      </c>
      <c r="I29" s="33" t="e">
        <f>IF(预算!I$8&gt;=0,NA(),IF(period+2&lt;&gt;COLUMN(预算!I$8),NA(),预算!I$8))</f>
        <v>#N/A</v>
      </c>
      <c r="J29" s="33" t="e">
        <f>IF(预算!J$8&gt;=0,NA(),IF(period+2&lt;&gt;COLUMN(预算!J$8),NA(),预算!J$8))</f>
        <v>#N/A</v>
      </c>
      <c r="K29" s="33" t="e">
        <f>IF(预算!K$8&gt;=0,NA(),IF(period+2&lt;&gt;COLUMN(预算!K$8),NA(),预算!K$8))</f>
        <v>#N/A</v>
      </c>
      <c r="L29" s="33" t="e">
        <f>IF(预算!L$8&gt;=0,NA(),IF(period+2&lt;&gt;COLUMN(预算!L$8),NA(),预算!L$8))</f>
        <v>#N/A</v>
      </c>
      <c r="M29" s="33" t="e">
        <f>IF(预算!M$8&gt;=0,NA(),IF(period+2&lt;&gt;COLUMN(预算!M$8),NA(),预算!M$8))</f>
        <v>#N/A</v>
      </c>
      <c r="N29" s="33" t="e">
        <f>IF(预算!N$8&gt;=0,NA(),IF(period+2&lt;&gt;COLUMN(预算!N$8),NA(),预算!N$8))</f>
        <v>#N/A</v>
      </c>
      <c r="O29" s="33" t="e">
        <f>IF(预算!O$8&gt;=0,NA(),IF(period+2&lt;&gt;COLUMN(预算!O$8),NA(),预算!O$8))</f>
        <v>#N/A</v>
      </c>
    </row>
    <row r="37" spans="2:4">
      <c r="B37" s="4" t="str">
        <f>LOWER(display_long_period)</f>
        <v>3 月</v>
      </c>
    </row>
    <row r="38" spans="2:4">
      <c r="B38" s="4" t="str">
        <f>display_long_period &amp; "收入"</f>
        <v>3 月收入</v>
      </c>
      <c r="C38" s="34">
        <f>INDEX(预算!$C$6:$P$6,,period)</f>
        <v>40000</v>
      </c>
    </row>
    <row r="39" spans="2:4">
      <c r="B39" s="4" t="str">
        <f>display_long_period &amp; "支出: " &amp; TEXT(INDEX(预算!$C$7:$P$7,,period),"$#,##0")</f>
        <v>3 月支出: $59,330</v>
      </c>
      <c r="C39" s="34">
        <f>INDEX(预算!$C$7:$P$7,,period)</f>
        <v>59330</v>
      </c>
    </row>
    <row r="40" spans="2:4">
      <c r="B40" s="4" t="str">
        <f>display_long_period &amp; "现金流"</f>
        <v>3 月现金流</v>
      </c>
      <c r="C40" s="34">
        <f>ABS(INDEX(预算!$C$8:$P$8,,period))</f>
        <v>19330</v>
      </c>
      <c r="D40" s="4" t="str">
        <f>REPT("-",INDEX(预算!$C$8:$P$8,,period)&lt;0)</f>
        <v>-</v>
      </c>
    </row>
  </sheetData>
  <phoneticPr fontId="4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FC45E4A1-AE48-4D6A-9A6A-B8EF5FA77F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23</vt:i4>
      </vt:variant>
    </vt:vector>
  </HeadingPairs>
  <TitlesOfParts>
    <vt:vector size="27" baseType="lpstr">
      <vt:lpstr>仪表板</vt:lpstr>
      <vt:lpstr>预算</vt:lpstr>
      <vt:lpstr>设置</vt:lpstr>
      <vt:lpstr>图表数据</vt:lpstr>
      <vt:lpstr>BudgetName</vt:lpstr>
      <vt:lpstr>expense_categories</vt:lpstr>
      <vt:lpstr>expenses_charity</vt:lpstr>
      <vt:lpstr>expenses_children</vt:lpstr>
      <vt:lpstr>expenses_daily_living</vt:lpstr>
      <vt:lpstr>expenses_education</vt:lpstr>
      <vt:lpstr>expenses_entertainment</vt:lpstr>
      <vt:lpstr>expenses_health</vt:lpstr>
      <vt:lpstr>expenses_home</vt:lpstr>
      <vt:lpstr>expenses_insurance</vt:lpstr>
      <vt:lpstr>expenses_misc</vt:lpstr>
      <vt:lpstr>expenses_obligations</vt:lpstr>
      <vt:lpstr>expenses_pets</vt:lpstr>
      <vt:lpstr>expenses_savings</vt:lpstr>
      <vt:lpstr>expenses_subscriptions</vt:lpstr>
      <vt:lpstr>expenses_transportation</vt:lpstr>
      <vt:lpstr>expenses_vacation</vt:lpstr>
      <vt:lpstr>income</vt:lpstr>
      <vt:lpstr>period</vt:lpstr>
      <vt:lpstr>预算!Print_Titles</vt:lpstr>
      <vt:lpstr>shpButtonDetails</vt:lpstr>
      <vt:lpstr>StartCell</vt:lpstr>
      <vt:lpstr>StartingBalance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Generic family budget</dc:title>
  <dc:creator>king</dc:creator>
  <cp:keywords/>
  <cp:lastModifiedBy>king</cp:lastModifiedBy>
  <dcterms:created xsi:type="dcterms:W3CDTF">2017-09-28T13:44:51Z</dcterms:created>
  <dcterms:modified xsi:type="dcterms:W3CDTF">2017-09-28T13:44:51Z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TC027802329991</vt:lpwstr>
  </property>
</Properties>
</file>