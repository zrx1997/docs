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7A2D7E96-6E34-419A-AE5F-296B3A7E7977}"/>
  <workbookPr filterPrivacy="1" codeName="ThisWorkbook"/>
  <bookViews>
    <workbookView xWindow="0" yWindow="0" windowWidth="25200" windowHeight="12570"/>
  </bookViews>
  <sheets>
    <sheet name="工资输入" sheetId="3" r:id="rId1"/>
    <sheet name="stubs_template" sheetId="4" state="hidden" r:id="rId2"/>
  </sheets>
  <definedNames>
    <definedName name="CompanyName">工资输入!$O$1</definedName>
    <definedName name="CurrentEmp">INDEX(Employees[员工姓名],Stub)</definedName>
    <definedName name="PeriodEnding">工资输入!$L$1</definedName>
    <definedName name="_xlnm.Print_Titles" localSheetId="0">工资输入!$1:$3</definedName>
    <definedName name="Stub">INT((ROW()-2)/12)+1</definedName>
    <definedName name="StubStruc">stubs_template!$B$37:$N$48</definedName>
    <definedName name="ThePage">stubs_template!$B$1:$N$48</definedName>
  </definedNames>
  <calcPr calcId="171027"/>
</workbook>
</file>

<file path=xl/calcChain.xml><?xml version="1.0" encoding="utf-8"?>
<calcChain xmlns="http://schemas.openxmlformats.org/spreadsheetml/2006/main">
  <c r="M43" i="4" l="1"/>
  <c r="M42" i="4"/>
  <c r="M41" i="4"/>
  <c r="M40" i="4"/>
  <c r="L39" i="4"/>
  <c r="M31" i="4"/>
  <c r="M30" i="4"/>
  <c r="M29" i="4"/>
  <c r="M28" i="4"/>
  <c r="L27" i="4"/>
  <c r="M19" i="4"/>
  <c r="M18" i="4"/>
  <c r="M17" i="4"/>
  <c r="M16" i="4"/>
  <c r="L15" i="4"/>
  <c r="I45" i="4"/>
  <c r="I44" i="4"/>
  <c r="I41" i="4"/>
  <c r="I40" i="4"/>
  <c r="H39" i="4"/>
  <c r="I33" i="4"/>
  <c r="I32" i="4"/>
  <c r="I29" i="4"/>
  <c r="I28" i="4"/>
  <c r="H27" i="4"/>
  <c r="I21" i="4"/>
  <c r="I20" i="4"/>
  <c r="I17" i="4"/>
  <c r="I16" i="4"/>
  <c r="H15" i="4"/>
  <c r="E44" i="4"/>
  <c r="E41" i="4"/>
  <c r="E40" i="4"/>
  <c r="E32" i="4"/>
  <c r="E29" i="4"/>
  <c r="E28" i="4"/>
  <c r="E20" i="4"/>
  <c r="E17" i="4"/>
  <c r="E16" i="4"/>
  <c r="M7" i="4"/>
  <c r="M6" i="4"/>
  <c r="M5" i="4"/>
  <c r="M4" i="4"/>
  <c r="L3" i="4"/>
  <c r="E8" i="4"/>
  <c r="E5" i="4"/>
  <c r="E4" i="4"/>
  <c r="I9" i="4"/>
  <c r="I8" i="4"/>
  <c r="I5" i="4"/>
  <c r="I4" i="4"/>
  <c r="H3" i="4"/>
  <c r="C13" i="3" l="1"/>
  <c r="I12" i="3" l="1"/>
  <c r="U12" i="3"/>
  <c r="X12" i="3"/>
  <c r="I11" i="3"/>
  <c r="U11" i="3"/>
  <c r="X11" i="3"/>
  <c r="I10" i="3"/>
  <c r="U10" i="3"/>
  <c r="X10" i="3"/>
  <c r="J12" i="3" l="1"/>
  <c r="L12" i="3" s="1"/>
  <c r="J11" i="3"/>
  <c r="L11" i="3" s="1"/>
  <c r="J10" i="3"/>
  <c r="L10" i="3" s="1"/>
  <c r="D39" i="4"/>
  <c r="C38" i="4"/>
  <c r="D27" i="4"/>
  <c r="C26" i="4"/>
  <c r="D15" i="4"/>
  <c r="C14" i="4"/>
  <c r="D3" i="4"/>
  <c r="C2" i="4"/>
  <c r="I9" i="3"/>
  <c r="U9" i="3"/>
  <c r="X9" i="3"/>
  <c r="I8" i="3"/>
  <c r="U8" i="3"/>
  <c r="X8" i="3"/>
  <c r="I7" i="3"/>
  <c r="U7" i="3"/>
  <c r="X7" i="3"/>
  <c r="W13" i="3"/>
  <c r="V13" i="3"/>
  <c r="K13" i="3"/>
  <c r="E13" i="3"/>
  <c r="F13" i="3"/>
  <c r="G13" i="3"/>
  <c r="D13" i="3"/>
  <c r="I4" i="3"/>
  <c r="I5" i="3"/>
  <c r="I6" i="3"/>
  <c r="U6" i="3"/>
  <c r="X6" i="3"/>
  <c r="X4" i="3"/>
  <c r="X5" i="3"/>
  <c r="U4" i="3"/>
  <c r="U5" i="3"/>
  <c r="M32" i="4" l="1"/>
  <c r="I30" i="4"/>
  <c r="E30" i="4"/>
  <c r="I31" i="4"/>
  <c r="E31" i="4"/>
  <c r="E6" i="4"/>
  <c r="I6" i="4"/>
  <c r="M8" i="4"/>
  <c r="E7" i="4"/>
  <c r="I7" i="4"/>
  <c r="M44" i="4"/>
  <c r="I43" i="4"/>
  <c r="E42" i="4"/>
  <c r="I42" i="4"/>
  <c r="E43" i="4"/>
  <c r="M20" i="4"/>
  <c r="I19" i="4"/>
  <c r="E18" i="4"/>
  <c r="I18" i="4"/>
  <c r="E19" i="4"/>
  <c r="J9" i="3"/>
  <c r="L9" i="3" s="1"/>
  <c r="J8" i="3"/>
  <c r="L8" i="3" s="1"/>
  <c r="J7" i="3"/>
  <c r="X13" i="3"/>
  <c r="J5" i="3"/>
  <c r="J6" i="3"/>
  <c r="I13" i="3"/>
  <c r="J4" i="3"/>
  <c r="M9" i="4" l="1"/>
  <c r="E9" i="4"/>
  <c r="M33" i="4"/>
  <c r="E33" i="4"/>
  <c r="L5" i="3"/>
  <c r="M23" i="4" s="1"/>
  <c r="M21" i="4"/>
  <c r="E21" i="4"/>
  <c r="L7" i="3"/>
  <c r="M47" i="4" s="1"/>
  <c r="M45" i="4"/>
  <c r="E45" i="4"/>
  <c r="L6" i="3"/>
  <c r="M35" i="4" s="1"/>
  <c r="L4" i="3"/>
  <c r="M11" i="4" s="1"/>
  <c r="J13" i="3"/>
  <c r="L13" i="3" l="1"/>
</calcChain>
</file>

<file path=xl/sharedStrings.xml><?xml version="1.0" encoding="utf-8"?>
<sst xmlns="http://schemas.openxmlformats.org/spreadsheetml/2006/main" count="129" uniqueCount="49">
  <si>
    <t>ID</t>
  </si>
  <si>
    <t xml:space="preserve"> </t>
  </si>
  <si>
    <t>工资计算器</t>
  </si>
  <si>
    <t>期间结束：</t>
  </si>
  <si>
    <t>公司名称：</t>
  </si>
  <si>
    <t>嘉元实业</t>
  </si>
  <si>
    <t>员工姓名</t>
  </si>
  <si>
    <t>工作的正常时数</t>
  </si>
  <si>
    <t>假期小时数</t>
  </si>
  <si>
    <t>病假小时数</t>
  </si>
  <si>
    <t>加班小时数</t>
  </si>
  <si>
    <t>加班费率</t>
  </si>
  <si>
    <t>工资总额</t>
  </si>
  <si>
    <t>税款和扣款</t>
  </si>
  <si>
    <t>其他扣款</t>
  </si>
  <si>
    <t>净薪金</t>
  </si>
  <si>
    <t>林国治</t>
  </si>
  <si>
    <t>赵军</t>
  </si>
  <si>
    <t>史美萍</t>
  </si>
  <si>
    <t>沙保国</t>
  </si>
  <si>
    <t>林新宇</t>
  </si>
  <si>
    <t>韩建明</t>
  </si>
  <si>
    <t>徐艳君</t>
  </si>
  <si>
    <t>洪国明</t>
  </si>
  <si>
    <t>刘英玫</t>
  </si>
  <si>
    <t>总计</t>
  </si>
  <si>
    <t>计时工资</t>
  </si>
  <si>
    <t>纳税状态</t>
  </si>
  <si>
    <t>联邦允许</t>
  </si>
  <si>
    <t>州税</t>
  </si>
  <si>
    <t>联邦所得税</t>
  </si>
  <si>
    <t>社会保障税</t>
  </si>
  <si>
    <t>医疗保险税</t>
  </si>
  <si>
    <t>总扣缴税额</t>
  </si>
  <si>
    <t>保险扣款</t>
  </si>
  <si>
    <t>其他常规扣款</t>
  </si>
  <si>
    <t>总常规扣款</t>
  </si>
  <si>
    <t>期间</t>
  </si>
  <si>
    <t>名称</t>
  </si>
  <si>
    <t>员工 ID</t>
  </si>
  <si>
    <t>小时费率</t>
  </si>
  <si>
    <t xml:space="preserve">医疗保险税 </t>
  </si>
  <si>
    <t>总税款和</t>
    <phoneticPr fontId="7" type="noConversion"/>
  </si>
  <si>
    <t xml:space="preserve">常规扣款 </t>
    <phoneticPr fontId="7" type="noConversion"/>
  </si>
  <si>
    <t>联邦津贴（来自 W-4）</t>
  </si>
  <si>
    <t xml:space="preserve">联邦所得税 </t>
  </si>
  <si>
    <t xml:space="preserve">州税 </t>
  </si>
  <si>
    <t>工作时数</t>
  </si>
  <si>
    <t xml:space="preserve">总税款和扣款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</si>
</sst>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7" formatCode="&quot;¥&quot;#,##0.00;&quot;¥&quot;\-#,##0.00"/>
    <numFmt numFmtId="176" formatCode="&quot;¥&quot;#,##0.00;&quot;¥&quot;\!\-#,##0.00"/>
    <numFmt numFmtId="177" formatCode="&quot;$&quot;#,##0.00_);[Red]\!\(&quot;$&quot;#,##0.00\!\)"/>
    <numFmt numFmtId="178" formatCode="&quot;$&quot;#,##0.00;\!\-&quot;$&quot;#,##0.00;\!\-"/>
    <numFmt numFmtId="179" formatCode="&quot;$&quot;#,##0.00;[Red]&quot;$&quot;#,##0.00"/>
    <numFmt numFmtId="180" formatCode="&quot;$&quot;#,##0.00;\-&quot;$&quot;#,##0.00;\-"/>
    <numFmt numFmtId="181" formatCode="&quot;$&quot;#,##0.00;\!\-&quot;$&quot;#,##0.00;\-"/>
  </numFmts>
  <fonts count="20" x14ac:knownFonts="1">
    <font>
      <sz val="10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8"/>
      <color theme="4"/>
      <name val="Cambria"/>
      <family val="2"/>
      <scheme val="major"/>
    </font>
    <font>
      <b/>
      <sz val="11"/>
      <color theme="3"/>
      <name val="Cambria"/>
      <family val="1"/>
      <scheme val="major"/>
    </font>
    <font>
      <b/>
      <sz val="10"/>
      <color theme="3"/>
      <name val="Cambria"/>
      <family val="1"/>
      <scheme val="major"/>
    </font>
    <font>
      <sz val="10"/>
      <color theme="1"/>
      <name val="Calibri"/>
      <family val="2"/>
    </font>
    <font>
      <sz val="9"/>
      <name val="宋体"/>
      <family val="3"/>
      <charset val="134"/>
    </font>
    <font>
      <b/>
      <sz val="18"/>
      <color theme="4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b/>
      <sz val="11"/>
      <color theme="3"/>
      <name val="Microsoft YaHei UI"/>
      <family val="2"/>
      <charset val="134"/>
    </font>
    <font>
      <sz val="11"/>
      <color theme="3"/>
      <name val="Microsoft YaHei UI"/>
      <family val="2"/>
      <charset val="134"/>
    </font>
    <font>
      <b/>
      <sz val="20"/>
      <color theme="1"/>
      <name val="Microsoft YaHei UI"/>
      <family val="2"/>
      <charset val="134"/>
    </font>
    <font>
      <sz val="10.5"/>
      <color theme="1"/>
      <name val="Microsoft YaHei UI"/>
      <family val="2"/>
      <charset val="134"/>
    </font>
    <font>
      <b/>
      <sz val="10"/>
      <color theme="1"/>
      <name val="Microsoft YaHei UI"/>
      <family val="2"/>
      <charset val="134"/>
    </font>
    <font>
      <b/>
      <sz val="10"/>
      <color theme="3"/>
      <name val="Microsoft YaHei UI"/>
      <family val="2"/>
      <charset val="134"/>
    </font>
    <font>
      <sz val="11"/>
      <color theme="0" tint="-0.34998626667073579"/>
      <name val="Microsoft YaHei UI"/>
      <family val="2"/>
      <charset val="134"/>
    </font>
    <font>
      <sz val="9"/>
      <color theme="3"/>
      <name val="Microsoft YaHei UI"/>
      <family val="2"/>
      <charset val="134"/>
    </font>
    <font>
      <b/>
      <sz val="9"/>
      <color theme="3"/>
      <name val="Microsoft YaHei UI"/>
      <family val="2"/>
      <charset val="134"/>
    </font>
    <font>
      <b/>
      <sz val="11"/>
      <color theme="0"/>
      <name val="Microsoft YaHei UI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thin">
        <color theme="3"/>
      </left>
      <right/>
      <top style="thin">
        <color theme="3"/>
      </top>
      <bottom/>
      <diagonal/>
    </border>
    <border>
      <left/>
      <right style="thin">
        <color theme="3"/>
      </right>
      <top style="thin">
        <color theme="3"/>
      </top>
      <bottom/>
      <diagonal/>
    </border>
    <border>
      <left style="thin">
        <color theme="3"/>
      </left>
      <right/>
      <top/>
      <bottom/>
      <diagonal/>
    </border>
    <border>
      <left/>
      <right style="thin">
        <color theme="3"/>
      </right>
      <top/>
      <bottom/>
      <diagonal/>
    </border>
    <border>
      <left style="thin">
        <color theme="3"/>
      </left>
      <right/>
      <top/>
      <bottom style="thin">
        <color theme="3"/>
      </bottom>
      <diagonal/>
    </border>
    <border>
      <left/>
      <right style="thin">
        <color theme="3"/>
      </right>
      <top/>
      <bottom style="thin">
        <color theme="3"/>
      </bottom>
      <diagonal/>
    </border>
    <border>
      <left/>
      <right/>
      <top style="thin">
        <color theme="3"/>
      </top>
      <bottom/>
      <diagonal/>
    </border>
    <border>
      <left/>
      <right/>
      <top/>
      <bottom style="thin">
        <color theme="3"/>
      </bottom>
      <diagonal/>
    </border>
  </borders>
  <cellStyleXfs count="7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4" fillId="0" borderId="0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71">
    <xf numFmtId="0" fontId="0" fillId="0" borderId="0" xfId="0">
      <alignment vertical="center"/>
    </xf>
    <xf numFmtId="0" fontId="8" fillId="0" borderId="4" xfId="1" applyFont="1" applyBorder="1" applyAlignment="1">
      <alignment vertical="center"/>
    </xf>
    <xf numFmtId="0" fontId="9" fillId="0" borderId="4" xfId="0" applyFont="1" applyBorder="1">
      <alignment vertical="center"/>
    </xf>
    <xf numFmtId="0" fontId="10" fillId="0" borderId="4" xfId="2" applyFont="1" applyBorder="1" applyAlignment="1">
      <alignment horizontal="right" vertical="center"/>
    </xf>
    <xf numFmtId="14" fontId="11" fillId="0" borderId="4" xfId="3" applyNumberFormat="1" applyFont="1" applyFill="1" applyBorder="1" applyAlignment="1">
      <alignment horizontal="right" vertical="center"/>
    </xf>
    <xf numFmtId="0" fontId="10" fillId="0" borderId="4" xfId="2" applyFont="1" applyBorder="1" applyAlignment="1">
      <alignment horizontal="left" vertical="center"/>
    </xf>
    <xf numFmtId="0" fontId="11" fillId="0" borderId="4" xfId="3" applyFont="1" applyFill="1" applyBorder="1" applyAlignment="1">
      <alignment horizontal="left" vertical="center"/>
    </xf>
    <xf numFmtId="0" fontId="9" fillId="0" borderId="0" xfId="0" applyFont="1">
      <alignment vertical="center"/>
    </xf>
    <xf numFmtId="0" fontId="12" fillId="0" borderId="0" xfId="0" applyFont="1">
      <alignment vertical="center"/>
    </xf>
    <xf numFmtId="0" fontId="9" fillId="0" borderId="0" xfId="0" applyFont="1" applyFill="1" applyBorder="1">
      <alignment vertical="center"/>
    </xf>
    <xf numFmtId="14" fontId="11" fillId="0" borderId="0" xfId="3" applyNumberFormat="1" applyFont="1" applyFill="1" applyBorder="1" applyAlignment="1"/>
    <xf numFmtId="0" fontId="13" fillId="0" borderId="0" xfId="0" applyFont="1" applyFill="1" applyBorder="1" applyAlignment="1">
      <alignment horizontal="left" indent="1"/>
    </xf>
    <xf numFmtId="0" fontId="13" fillId="0" borderId="15" xfId="0" applyFont="1" applyFill="1" applyBorder="1" applyAlignment="1">
      <alignment horizontal="left" wrapText="1" indent="1"/>
    </xf>
    <xf numFmtId="0" fontId="13" fillId="0" borderId="0" xfId="0" applyFont="1" applyFill="1" applyBorder="1" applyAlignment="1">
      <alignment horizontal="left" wrapText="1" indent="1"/>
    </xf>
    <xf numFmtId="0" fontId="13" fillId="0" borderId="2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left" vertical="center" indent="1"/>
    </xf>
    <xf numFmtId="0" fontId="9" fillId="0" borderId="15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178" fontId="9" fillId="0" borderId="0" xfId="0" applyNumberFormat="1" applyFont="1" applyFill="1" applyBorder="1" applyAlignment="1">
      <alignment horizontal="center" vertical="center"/>
    </xf>
    <xf numFmtId="178" fontId="9" fillId="0" borderId="0" xfId="0" applyNumberFormat="1" applyFont="1" applyFill="1" applyBorder="1" applyAlignment="1">
      <alignment horizontal="right" vertical="center" indent="1"/>
    </xf>
    <xf numFmtId="0" fontId="9" fillId="3" borderId="1" xfId="0" applyFont="1" applyFill="1" applyBorder="1" applyAlignment="1">
      <alignment horizontal="center" vertical="center"/>
    </xf>
    <xf numFmtId="10" fontId="9" fillId="0" borderId="0" xfId="0" applyNumberFormat="1" applyFont="1" applyFill="1" applyBorder="1" applyAlignment="1">
      <alignment horizontal="center" vertical="center"/>
    </xf>
    <xf numFmtId="10" fontId="9" fillId="0" borderId="0" xfId="6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9" fillId="0" borderId="5" xfId="0" applyFont="1" applyBorder="1">
      <alignment vertical="center"/>
    </xf>
    <xf numFmtId="0" fontId="8" fillId="0" borderId="6" xfId="1" applyFont="1" applyBorder="1" applyAlignment="1">
      <alignment vertical="center"/>
    </xf>
    <xf numFmtId="0" fontId="9" fillId="0" borderId="6" xfId="0" applyFont="1" applyBorder="1" applyAlignment="1">
      <alignment vertical="center"/>
    </xf>
    <xf numFmtId="0" fontId="9" fillId="0" borderId="7" xfId="0" applyFont="1" applyBorder="1">
      <alignment vertical="center"/>
    </xf>
    <xf numFmtId="0" fontId="9" fillId="0" borderId="0" xfId="0" applyFont="1" applyBorder="1">
      <alignment vertical="center"/>
    </xf>
    <xf numFmtId="0" fontId="9" fillId="0" borderId="8" xfId="0" applyFont="1" applyBorder="1">
      <alignment vertical="center"/>
    </xf>
    <xf numFmtId="0" fontId="15" fillId="0" borderId="0" xfId="4" applyFont="1" applyFill="1" applyBorder="1" applyAlignment="1">
      <alignment horizontal="left" vertical="center" indent="1"/>
    </xf>
    <xf numFmtId="14" fontId="10" fillId="0" borderId="0" xfId="5" applyNumberFormat="1" applyFont="1" applyFill="1" applyBorder="1" applyAlignment="1">
      <alignment horizontal="left" vertical="center" indent="1"/>
    </xf>
    <xf numFmtId="0" fontId="10" fillId="0" borderId="0" xfId="5" applyFont="1" applyFill="1" applyBorder="1" applyAlignment="1">
      <alignment horizontal="left" vertical="center" indent="1"/>
    </xf>
    <xf numFmtId="0" fontId="9" fillId="0" borderId="9" xfId="0" applyFont="1" applyBorder="1">
      <alignment vertical="center"/>
    </xf>
    <xf numFmtId="0" fontId="17" fillId="0" borderId="12" xfId="0" applyFont="1" applyFill="1" applyBorder="1" applyAlignment="1">
      <alignment horizontal="left" indent="1"/>
    </xf>
    <xf numFmtId="0" fontId="17" fillId="0" borderId="18" xfId="0" applyFont="1" applyFill="1" applyBorder="1" applyAlignment="1">
      <alignment horizontal="left" indent="1"/>
    </xf>
    <xf numFmtId="0" fontId="17" fillId="0" borderId="13" xfId="0" applyFont="1" applyFill="1" applyBorder="1" applyAlignment="1">
      <alignment horizontal="right" indent="2"/>
    </xf>
    <xf numFmtId="0" fontId="18" fillId="0" borderId="0" xfId="0" applyFont="1" applyFill="1" applyBorder="1" applyAlignment="1">
      <alignment horizontal="left" vertical="center" indent="1"/>
    </xf>
    <xf numFmtId="0" fontId="17" fillId="0" borderId="14" xfId="0" applyFont="1" applyFill="1" applyBorder="1" applyAlignment="1">
      <alignment horizontal="left" indent="1"/>
    </xf>
    <xf numFmtId="0" fontId="17" fillId="0" borderId="0" xfId="0" applyFont="1" applyFill="1" applyBorder="1" applyAlignment="1">
      <alignment horizontal="left" indent="1"/>
    </xf>
    <xf numFmtId="177" fontId="18" fillId="0" borderId="0" xfId="0" applyNumberFormat="1" applyFont="1" applyFill="1" applyBorder="1" applyAlignment="1">
      <alignment horizontal="left" vertical="center" indent="1"/>
    </xf>
    <xf numFmtId="0" fontId="17" fillId="0" borderId="15" xfId="0" applyFont="1" applyFill="1" applyBorder="1" applyAlignment="1">
      <alignment horizontal="right" indent="2"/>
    </xf>
    <xf numFmtId="0" fontId="17" fillId="0" borderId="0" xfId="0" applyFont="1" applyFill="1" applyBorder="1" applyAlignment="1">
      <alignment horizontal="left" vertical="center" indent="1"/>
    </xf>
    <xf numFmtId="179" fontId="17" fillId="0" borderId="17" xfId="0" applyNumberFormat="1" applyFont="1" applyFill="1" applyBorder="1" applyAlignment="1">
      <alignment horizontal="right" vertical="top" indent="2"/>
    </xf>
    <xf numFmtId="0" fontId="17" fillId="0" borderId="16" xfId="0" applyFont="1" applyFill="1" applyBorder="1" applyAlignment="1">
      <alignment horizontal="left" vertical="top" indent="1"/>
    </xf>
    <xf numFmtId="0" fontId="17" fillId="0" borderId="19" xfId="0" applyFont="1" applyFill="1" applyBorder="1" applyAlignment="1">
      <alignment horizontal="left" vertical="top" indent="1"/>
    </xf>
    <xf numFmtId="0" fontId="9" fillId="0" borderId="0" xfId="0" applyFont="1" applyBorder="1" applyAlignment="1">
      <alignment vertical="center"/>
    </xf>
    <xf numFmtId="0" fontId="19" fillId="4" borderId="18" xfId="0" applyFont="1" applyFill="1" applyBorder="1" applyAlignment="1">
      <alignment horizontal="left" vertical="center" indent="1"/>
    </xf>
    <xf numFmtId="0" fontId="9" fillId="0" borderId="10" xfId="0" applyFont="1" applyBorder="1">
      <alignment vertical="center"/>
    </xf>
    <xf numFmtId="0" fontId="9" fillId="0" borderId="11" xfId="0" applyFont="1" applyBorder="1">
      <alignment vertical="center"/>
    </xf>
    <xf numFmtId="176" fontId="17" fillId="0" borderId="15" xfId="0" applyNumberFormat="1" applyFont="1" applyFill="1" applyBorder="1" applyAlignment="1">
      <alignment horizontal="right" indent="2"/>
    </xf>
    <xf numFmtId="176" fontId="17" fillId="0" borderId="15" xfId="0" applyNumberFormat="1" applyFont="1" applyFill="1" applyBorder="1" applyAlignment="1">
      <alignment horizontal="right" vertical="center" indent="2"/>
    </xf>
    <xf numFmtId="176" fontId="19" fillId="4" borderId="18" xfId="0" applyNumberFormat="1" applyFont="1" applyFill="1" applyBorder="1" applyAlignment="1">
      <alignment horizontal="right" vertical="center" indent="2"/>
    </xf>
    <xf numFmtId="176" fontId="9" fillId="2" borderId="0" xfId="0" applyNumberFormat="1" applyFont="1" applyFill="1" applyBorder="1" applyAlignment="1">
      <alignment horizontal="right" vertical="center" indent="1"/>
    </xf>
    <xf numFmtId="176" fontId="9" fillId="0" borderId="0" xfId="0" applyNumberFormat="1" applyFont="1" applyFill="1" applyBorder="1" applyAlignment="1">
      <alignment horizontal="right" vertical="center" indent="1"/>
    </xf>
    <xf numFmtId="176" fontId="9" fillId="0" borderId="0" xfId="0" applyNumberFormat="1" applyFont="1" applyFill="1" applyBorder="1" applyAlignment="1">
      <alignment horizontal="center" vertical="center"/>
    </xf>
    <xf numFmtId="176" fontId="14" fillId="2" borderId="0" xfId="6" applyNumberFormat="1" applyFont="1" applyFill="1" applyBorder="1" applyAlignment="1">
      <alignment horizontal="center" vertical="center"/>
    </xf>
    <xf numFmtId="176" fontId="14" fillId="2" borderId="0" xfId="0" applyNumberFormat="1" applyFont="1" applyFill="1" applyBorder="1" applyAlignment="1">
      <alignment horizontal="right" vertical="center" indent="1"/>
    </xf>
    <xf numFmtId="180" fontId="14" fillId="2" borderId="0" xfId="0" applyNumberFormat="1" applyFont="1" applyFill="1" applyBorder="1" applyAlignment="1">
      <alignment horizontal="right" vertical="center" indent="1"/>
    </xf>
    <xf numFmtId="7" fontId="9" fillId="2" borderId="0" xfId="0" applyNumberFormat="1" applyFont="1" applyFill="1" applyBorder="1" applyAlignment="1">
      <alignment horizontal="right" vertical="center" indent="1"/>
    </xf>
    <xf numFmtId="181" fontId="9" fillId="0" borderId="0" xfId="0" applyNumberFormat="1" applyFont="1" applyFill="1" applyBorder="1" applyAlignment="1">
      <alignment horizontal="right" vertical="center" indent="1"/>
    </xf>
    <xf numFmtId="0" fontId="11" fillId="0" borderId="19" xfId="5" applyFont="1" applyFill="1" applyBorder="1" applyAlignment="1">
      <alignment horizontal="right" vertical="center" indent="2"/>
    </xf>
    <xf numFmtId="0" fontId="10" fillId="0" borderId="19" xfId="5" applyFont="1" applyFill="1" applyBorder="1" applyAlignment="1">
      <alignment horizontal="right" vertical="center" indent="2"/>
    </xf>
    <xf numFmtId="14" fontId="10" fillId="0" borderId="19" xfId="5" applyNumberFormat="1" applyFont="1" applyFill="1" applyBorder="1" applyAlignment="1">
      <alignment horizontal="right" vertical="center" indent="2"/>
    </xf>
    <xf numFmtId="0" fontId="17" fillId="0" borderId="14" xfId="0" applyFont="1" applyFill="1" applyBorder="1" applyAlignment="1">
      <alignment horizontal="left" wrapText="1" indent="1"/>
    </xf>
    <xf numFmtId="0" fontId="17" fillId="0" borderId="0" xfId="0" applyFont="1" applyFill="1" applyBorder="1" applyAlignment="1">
      <alignment horizontal="left" wrapText="1" indent="1"/>
    </xf>
    <xf numFmtId="0" fontId="17" fillId="0" borderId="16" xfId="0" applyFont="1" applyFill="1" applyBorder="1" applyAlignment="1">
      <alignment horizontal="left" vertical="top" wrapText="1" indent="1"/>
    </xf>
    <xf numFmtId="0" fontId="17" fillId="0" borderId="19" xfId="0" applyFont="1" applyFill="1" applyBorder="1" applyAlignment="1">
      <alignment horizontal="left" vertical="top" wrapText="1" indent="1"/>
    </xf>
  </cellXfs>
  <cellStyles count="7">
    <cellStyle name="百分比" xfId="6" builtinId="5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/>
    <cellStyle name="常规" xfId="0" builtinId="0" customBuiltin="1"/>
  </cellStyles>
  <dxfs count="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numFmt numFmtId="176" formatCode="&quot;¥&quot;#,##0.00;&quot;¥&quot;\!\-#,##0.0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name val="Microsoft YaHei UI"/>
        <scheme val="none"/>
      </font>
      <numFmt numFmtId="178" formatCode="&quot;$&quot;#,##0.00;\!\-&quot;$&quot;#,##0.00;\!\-"/>
      <fill>
        <patternFill patternType="solid">
          <fgColor indexed="64"/>
          <bgColor theme="4" tint="0.79998168889431442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numFmt numFmtId="176" formatCode="&quot;¥&quot;#,##0.00;&quot;¥&quot;\!\-#,##0.0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8" formatCode="&quot;$&quot;#,##0.00;\!\-&quot;$&quot;#,##0.00;\!\-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numFmt numFmtId="176" formatCode="&quot;¥&quot;#,##0.00;&quot;¥&quot;\!\-#,##0.0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8" formatCode="&quot;$&quot;#,##0.00;\!\-&quot;$&quot;#,##0.00;\!\-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name val="Microsoft YaHei UI"/>
        <scheme val="none"/>
      </font>
      <numFmt numFmtId="176" formatCode="&quot;¥&quot;#,##0.00;&quot;¥&quot;\!\-#,##0.0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6" formatCode="&quot;¥&quot;#,##0.00;&quot;¥&quot;\!\-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fill>
        <patternFill patternType="solid">
          <fgColor indexed="64"/>
          <bgColor theme="0"/>
        </patternFill>
      </fill>
      <alignment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numFmt numFmtId="176" formatCode="&quot;¥&quot;#,##0.00;&quot;¥&quot;\!\-#,##0.0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1" formatCode="&quot;¥&quot;#,##0.00;&quot;¥&quot;\-#,##0.00"/>
      <fill>
        <patternFill patternType="solid">
          <fgColor indexed="64"/>
          <bgColor theme="4" tint="0.79998168889431442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numFmt numFmtId="176" formatCode="&quot;¥&quot;#,##0.00;&quot;¥&quot;\!\-#,##0.0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8" formatCode="&quot;$&quot;#,##0.00;\!\-&quot;$&quot;#,##0.00;\!\-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numFmt numFmtId="176" formatCode="&quot;¥&quot;#,##0.00;&quot;¥&quot;\!\-#,##0.0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6" formatCode="&quot;¥&quot;#,##0.00;&quot;¥&quot;\!\-#,##0.00"/>
      <fill>
        <patternFill patternType="solid">
          <fgColor indexed="64"/>
          <bgColor theme="4" tint="0.79998168889431442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numFmt numFmtId="176" formatCode="&quot;¥&quot;#,##0.00;&quot;¥&quot;\!\-#,##0.0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6" formatCode="&quot;¥&quot;#,##0.00;&quot;¥&quot;\!\-#,##0.00"/>
      <fill>
        <patternFill patternType="solid">
          <fgColor indexed="64"/>
          <bgColor theme="4" tint="0.79998168889431442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8" formatCode="&quot;$&quot;#,##0.00;\!\-&quot;$&quot;#,##0.00;\!\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3"/>
        </right>
        <top/>
        <bottom/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.5"/>
        <color theme="1"/>
        <name val="Microsoft YaHei UI"/>
        <scheme val="none"/>
      </font>
      <alignment vertical="bottom" textRotation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fgColor theme="4" tint="0.79992065187536243"/>
          <bgColor theme="4" tint="0.79998168889431442"/>
        </patternFill>
      </fill>
    </dxf>
    <dxf>
      <font>
        <b/>
        <i val="0"/>
        <color theme="3"/>
      </font>
    </dxf>
    <dxf>
      <font>
        <color theme="3"/>
      </font>
    </dxf>
    <dxf>
      <font>
        <color theme="1" tint="0.34998626667073579"/>
      </font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</dxf>
  </dxfs>
  <tableStyles count="1" defaultTableStyle="Payroll Calculator" defaultPivotStyle="PivotStyleLight16">
    <tableStyle name="Payroll Calculator" pivot="0" count="6">
      <tableStyleElement type="wholeTable" dxfId="54"/>
      <tableStyleElement type="headerRow" dxfId="53"/>
      <tableStyleElement type="totalRow" dxfId="52"/>
      <tableStyleElement type="firstRowStripe" dxfId="51"/>
      <tableStyleElement type="secondRowStripe" dxfId="50"/>
      <tableStyleElement type="firstColumnStripe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24037;&#36164;&#36755;&#20837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657225</xdr:colOff>
      <xdr:row>0</xdr:row>
      <xdr:rowOff>171449</xdr:rowOff>
    </xdr:from>
    <xdr:to>
      <xdr:col>8</xdr:col>
      <xdr:colOff>828675</xdr:colOff>
      <xdr:row>0</xdr:row>
      <xdr:rowOff>400050</xdr:rowOff>
    </xdr:to>
    <xdr:sp macro="[0]!BuildPayStubs" textlink="">
      <xdr:nvSpPr>
        <xdr:cNvPr id="2" name="生成工资存根" descr="单击可生成工资存根" title="生成工资存根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91200" y="171449"/>
          <a:ext cx="1581150" cy="228601"/>
        </a:xfrm>
        <a:prstGeom prst="roundRect">
          <a:avLst/>
        </a:prstGeom>
        <a:solidFill>
          <a:schemeClr val="tx2"/>
        </a:solidFill>
        <a:ln>
          <a:noFill/>
        </a:ln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000" b="1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生成工资存根</a:t>
          </a:r>
          <a:endParaRPr lang="en-US" sz="1000" b="1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12</xdr:col>
      <xdr:colOff>15875</xdr:colOff>
      <xdr:row>2</xdr:row>
      <xdr:rowOff>146844</xdr:rowOff>
    </xdr:from>
    <xdr:to>
      <xdr:col>13</xdr:col>
      <xdr:colOff>517</xdr:colOff>
      <xdr:row>3</xdr:row>
      <xdr:rowOff>19051</xdr:rowOff>
    </xdr:to>
    <xdr:sp macro="" textlink="">
      <xdr:nvSpPr>
        <xdr:cNvPr id="5" name="筛选器封面" descr="&quot;&quot;" title="筛选器封面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0283825" y="832644"/>
          <a:ext cx="175142" cy="26273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123824</xdr:colOff>
      <xdr:row>0</xdr:row>
      <xdr:rowOff>171450</xdr:rowOff>
    </xdr:from>
    <xdr:to>
      <xdr:col>17</xdr:col>
      <xdr:colOff>9524</xdr:colOff>
      <xdr:row>1</xdr:row>
      <xdr:rowOff>209550</xdr:rowOff>
    </xdr:to>
    <xdr:sp macro="" textlink="">
      <xdr:nvSpPr>
        <xdr:cNvPr id="2" name="工资输入" descr="Click to view the Payroll Input sheet." title="Payroll Input">
          <a:hlinkClick xmlns:r="http://schemas.openxmlformats.org/officeDocument/2006/relationships" r:id="rId1" tooltip="单击可查看“工资输入”工作表。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905874" y="171450"/>
          <a:ext cx="1266825" cy="228600"/>
        </a:xfrm>
        <a:prstGeom prst="roundRect">
          <a:avLst/>
        </a:prstGeom>
        <a:solidFill>
          <a:schemeClr val="tx2"/>
        </a:solidFill>
        <a:ln>
          <a:noFill/>
        </a:ln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zh-CN" altLang="en-US" sz="1000" b="1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工资输入</a:t>
          </a:r>
          <a:endParaRPr lang="en-US" sz="1000" b="1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+mn-cs"/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Employees" displayName="Employees" ref="B3:X13" totalsRowCount="1" headerRowDxfId="48" dataDxfId="47" totalsRowDxfId="46">
  <autoFilter ref="B3:X12"/>
  <tableColumns count="23">
    <tableColumn id="1" name="ID" totalsRowLabel="总计" dataDxfId="45" totalsRowDxfId="44"/>
    <tableColumn id="2" name="员工姓名" totalsRowFunction="count" dataDxfId="43" totalsRowDxfId="42"/>
    <tableColumn id="25" name="工作的正常时数" totalsRowFunction="sum" dataDxfId="41" totalsRowDxfId="40"/>
    <tableColumn id="26" name="假期小时数" totalsRowFunction="sum" dataDxfId="39" totalsRowDxfId="38"/>
    <tableColumn id="27" name="病假小时数" totalsRowFunction="sum" dataDxfId="37" totalsRowDxfId="36"/>
    <tableColumn id="28" name="加班小时数" totalsRowFunction="sum" dataDxfId="35" totalsRowDxfId="34"/>
    <tableColumn id="29" name="加班费率" dataDxfId="33" totalsRowDxfId="32"/>
    <tableColumn id="30" name="工资总额" totalsRowFunction="sum" dataDxfId="31" totalsRowDxfId="30">
      <calculatedColumnFormula>SUM(Employees[[#This Row],[工作的正常时数]:[病假小时数]])*Employees[[#This Row],[计时工资]]+Employees[[#This Row],[加班小时数]]*Employees[[#This Row],[加班费率]]</calculatedColumnFormula>
    </tableColumn>
    <tableColumn id="31" name="税款和扣款" totalsRowFunction="sum" dataDxfId="29" totalsRowDxfId="28">
      <calculatedColumnFormula>Employees[[#This Row],[工资总额]]*Employees[[#This Row],[总扣缴税额]] + Employees[[#This Row],[总常规扣款]]</calculatedColumnFormula>
    </tableColumn>
    <tableColumn id="32" name="其他扣款" totalsRowFunction="sum" dataDxfId="27" totalsRowDxfId="26"/>
    <tableColumn id="33" name="净薪金" totalsRowFunction="sum" dataDxfId="25" totalsRowDxfId="24">
      <calculatedColumnFormula>Employees[[#This Row],[工资总额]]-Employees[[#This Row],[税款和扣款]]-Employees[[#This Row],[其他扣款]]</calculatedColumnFormula>
    </tableColumn>
    <tableColumn id="24" name=" " dataDxfId="23" totalsRowDxfId="22"/>
    <tableColumn id="3" name="计时工资" dataDxfId="21" totalsRowDxfId="20"/>
    <tableColumn id="4" name="纳税状态" dataDxfId="19" totalsRowDxfId="18"/>
    <tableColumn id="5" name="联邦允许" dataDxfId="17" totalsRowDxfId="16"/>
    <tableColumn id="6" name="州税" dataDxfId="15" totalsRowDxfId="14"/>
    <tableColumn id="7" name="联邦所得税" dataDxfId="13" totalsRowDxfId="12"/>
    <tableColumn id="8" name="社会保障税" dataDxfId="11" totalsRowDxfId="10"/>
    <tableColumn id="9" name="医疗保险税" dataDxfId="9" totalsRowDxfId="8"/>
    <tableColumn id="10" name="总扣缴税额" dataDxfId="7" totalsRowDxfId="6">
      <calculatedColumnFormula>SUM(Employees[[#This Row],[州税]:[医疗保险税]])</calculatedColumnFormula>
    </tableColumn>
    <tableColumn id="11" name="保险扣款" totalsRowFunction="sum" dataDxfId="5" totalsRowDxfId="4"/>
    <tableColumn id="12" name="其他常规扣款" totalsRowFunction="sum" dataDxfId="3" totalsRowDxfId="2"/>
    <tableColumn id="13" name="总常规扣款" totalsRowFunction="sum" dataDxfId="1" totalsRowDxfId="0">
      <calculatedColumnFormula>SUM(Employees[[#This Row],[保险扣款]:[其他常规扣款]])</calculatedColumnFormula>
    </tableColumn>
  </tableColumns>
  <tableStyleInfo name="Payroll Calculator" showFirstColumn="0" showLastColumn="0" showRowStripes="1" showColumnStripes="0"/>
  <extLst>
    <ext xmlns:x14="http://schemas.microsoft.com/office/spreadsheetml/2009/9/main" uri="{504A1905-F514-4f6f-8877-14C23A59335A}">
      <x14:table altText="工资信息" altTextSummary="员工以及正常工作时数、假期小时数、病假小时数、加班小时数、加班费率、工资总额和税等工资数据的列表。"/>
    </ext>
  </extLst>
</table>
</file>

<file path=xl/theme/theme1.xml><?xml version="1.0" encoding="utf-8"?>
<a:theme xmlns:a="http://schemas.openxmlformats.org/drawingml/2006/main" name="Office Theme">
  <a:themeElements>
    <a:clrScheme name="Payroll Calculator">
      <a:dk1>
        <a:sysClr val="windowText" lastClr="000000"/>
      </a:dk1>
      <a:lt1>
        <a:sysClr val="window" lastClr="FFFFFF"/>
      </a:lt1>
      <a:dk2>
        <a:srgbClr val="554B4C"/>
      </a:dk2>
      <a:lt2>
        <a:srgbClr val="EEECE1"/>
      </a:lt2>
      <a:accent1>
        <a:srgbClr val="94BA65"/>
      </a:accent1>
      <a:accent2>
        <a:srgbClr val="938953"/>
      </a:accent2>
      <a:accent3>
        <a:srgbClr val="CF9E1E"/>
      </a:accent3>
      <a:accent4>
        <a:srgbClr val="5E9096"/>
      </a:accent4>
      <a:accent5>
        <a:srgbClr val="92618B"/>
      </a:accent5>
      <a:accent6>
        <a:srgbClr val="C26251"/>
      </a:accent6>
      <a:hlink>
        <a:srgbClr val="5E9096"/>
      </a:hlink>
      <a:folHlink>
        <a:srgbClr val="92618B"/>
      </a:folHlink>
    </a:clrScheme>
    <a:fontScheme name="Payroll Calculator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X13"/>
  <sheetViews>
    <sheetView showGridLines="0" tabSelected="1" zoomScaleNormal="100" workbookViewId="0">
      <pane xSplit="3" topLeftCell="D1" activePane="topRight" state="frozen"/>
      <selection pane="topRight"/>
    </sheetView>
  </sheetViews>
  <sheetFormatPr defaultRowHeight="18.75" customHeight="1" x14ac:dyDescent="0.2"/>
  <cols>
    <col min="1" max="1" width="1.42578125" style="7" customWidth="1"/>
    <col min="2" max="2" width="10.28515625" style="7" customWidth="1"/>
    <col min="3" max="3" width="31" style="7" customWidth="1"/>
    <col min="4" max="4" width="12.42578125" style="7" customWidth="1"/>
    <col min="5" max="7" width="9.85546875" style="7" customWidth="1"/>
    <col min="8" max="8" width="12.5703125" style="7" customWidth="1"/>
    <col min="9" max="9" width="13.42578125" style="7" customWidth="1"/>
    <col min="10" max="10" width="15.28515625" style="7" customWidth="1"/>
    <col min="11" max="11" width="14.28515625" style="7" customWidth="1"/>
    <col min="12" max="12" width="13.7109375" style="7" customWidth="1"/>
    <col min="13" max="13" width="2.85546875" style="7" customWidth="1"/>
    <col min="14" max="14" width="13.42578125" style="7" customWidth="1"/>
    <col min="15" max="15" width="13.5703125" style="7" customWidth="1"/>
    <col min="16" max="16" width="12.42578125" style="7" customWidth="1"/>
    <col min="17" max="17" width="11.28515625" style="7" customWidth="1"/>
    <col min="18" max="18" width="16.85546875" style="7" customWidth="1"/>
    <col min="19" max="19" width="15.7109375" style="7" customWidth="1"/>
    <col min="20" max="20" width="15.5703125" style="7" customWidth="1"/>
    <col min="21" max="21" width="16" style="7" customWidth="1"/>
    <col min="22" max="22" width="13.28515625" style="7" customWidth="1"/>
    <col min="23" max="23" width="11.85546875" style="7" customWidth="1"/>
    <col min="24" max="24" width="15.140625" style="7" customWidth="1"/>
    <col min="25" max="16384" width="9.140625" style="7"/>
  </cols>
  <sheetData>
    <row r="1" spans="2:24" ht="42" customHeight="1" thickBot="1" x14ac:dyDescent="0.25">
      <c r="B1" s="1" t="s">
        <v>2</v>
      </c>
      <c r="C1" s="2"/>
      <c r="D1" s="2"/>
      <c r="E1" s="2"/>
      <c r="F1" s="2"/>
      <c r="G1" s="2"/>
      <c r="H1" s="2"/>
      <c r="I1" s="2"/>
      <c r="J1" s="2"/>
      <c r="K1" s="3" t="s">
        <v>3</v>
      </c>
      <c r="L1" s="4">
        <v>41372</v>
      </c>
      <c r="M1" s="2"/>
      <c r="N1" s="5" t="s">
        <v>4</v>
      </c>
      <c r="O1" s="6" t="s">
        <v>5</v>
      </c>
      <c r="P1" s="6"/>
      <c r="Q1" s="2"/>
      <c r="R1" s="2"/>
      <c r="S1" s="2"/>
      <c r="T1" s="2"/>
      <c r="U1" s="2"/>
      <c r="V1" s="2"/>
      <c r="W1" s="2"/>
      <c r="X1" s="2"/>
    </row>
    <row r="2" spans="2:24" ht="12" customHeight="1" x14ac:dyDescent="0.3">
      <c r="B2" s="8"/>
      <c r="H2" s="9"/>
      <c r="P2" s="10"/>
    </row>
    <row r="3" spans="2:24" ht="30.75" customHeight="1" x14ac:dyDescent="0.35">
      <c r="B3" s="11" t="s">
        <v>0</v>
      </c>
      <c r="C3" s="11" t="s">
        <v>6</v>
      </c>
      <c r="D3" s="12" t="s">
        <v>7</v>
      </c>
      <c r="E3" s="13" t="s">
        <v>8</v>
      </c>
      <c r="F3" s="13" t="s">
        <v>9</v>
      </c>
      <c r="G3" s="13" t="s">
        <v>10</v>
      </c>
      <c r="H3" s="13" t="s">
        <v>11</v>
      </c>
      <c r="I3" s="13" t="s">
        <v>12</v>
      </c>
      <c r="J3" s="13" t="s">
        <v>13</v>
      </c>
      <c r="K3" s="13" t="s">
        <v>14</v>
      </c>
      <c r="L3" s="13" t="s">
        <v>15</v>
      </c>
      <c r="M3" s="14" t="s">
        <v>1</v>
      </c>
      <c r="N3" s="13" t="s">
        <v>26</v>
      </c>
      <c r="O3" s="13" t="s">
        <v>27</v>
      </c>
      <c r="P3" s="13" t="s">
        <v>28</v>
      </c>
      <c r="Q3" s="13" t="s">
        <v>29</v>
      </c>
      <c r="R3" s="13" t="s">
        <v>30</v>
      </c>
      <c r="S3" s="13" t="s">
        <v>31</v>
      </c>
      <c r="T3" s="13" t="s">
        <v>32</v>
      </c>
      <c r="U3" s="13" t="s">
        <v>33</v>
      </c>
      <c r="V3" s="13" t="s">
        <v>34</v>
      </c>
      <c r="W3" s="13" t="s">
        <v>35</v>
      </c>
      <c r="X3" s="13" t="s">
        <v>36</v>
      </c>
    </row>
    <row r="4" spans="2:24" ht="18.75" customHeight="1" x14ac:dyDescent="0.2">
      <c r="B4" s="15">
        <v>1001</v>
      </c>
      <c r="C4" s="15" t="s">
        <v>16</v>
      </c>
      <c r="D4" s="16">
        <v>50</v>
      </c>
      <c r="E4" s="17">
        <v>5</v>
      </c>
      <c r="F4" s="17">
        <v>1</v>
      </c>
      <c r="G4" s="17"/>
      <c r="H4" s="18"/>
      <c r="I4" s="56">
        <f>SUM(Employees[[#This Row],[工作的正常时数]:[病假小时数]])*Employees[[#This Row],[计时工资]]+Employees[[#This Row],[加班小时数]]*Employees[[#This Row],[加班费率]]</f>
        <v>5600</v>
      </c>
      <c r="J4" s="56">
        <f>Employees[[#This Row],[工资总额]]*Employees[[#This Row],[总扣缴税额]] + Employees[[#This Row],[总常规扣款]]</f>
        <v>2730.8</v>
      </c>
      <c r="K4" s="57">
        <v>200</v>
      </c>
      <c r="L4" s="62">
        <f>Employees[[#This Row],[工资总额]]-Employees[[#This Row],[税款和扣款]]-Employees[[#This Row],[其他扣款]]</f>
        <v>2669.2</v>
      </c>
      <c r="M4" s="20"/>
      <c r="N4" s="58">
        <v>100</v>
      </c>
      <c r="O4" s="17">
        <v>1</v>
      </c>
      <c r="P4" s="17">
        <v>4</v>
      </c>
      <c r="Q4" s="21">
        <v>2.3E-2</v>
      </c>
      <c r="R4" s="22">
        <v>0.28000000000000003</v>
      </c>
      <c r="S4" s="22">
        <v>6.3E-2</v>
      </c>
      <c r="T4" s="22">
        <v>1.4500000000000001E-2</v>
      </c>
      <c r="U4" s="59">
        <f>SUM(Employees[[#This Row],[州税]:[医疗保险税]])</f>
        <v>0.38050000000000006</v>
      </c>
      <c r="V4" s="57">
        <v>200</v>
      </c>
      <c r="W4" s="57">
        <v>400</v>
      </c>
      <c r="X4" s="60">
        <f>SUM(Employees[[#This Row],[保险扣款]:[其他常规扣款]])</f>
        <v>600</v>
      </c>
    </row>
    <row r="5" spans="2:24" ht="18.75" customHeight="1" x14ac:dyDescent="0.2">
      <c r="B5" s="15">
        <v>1002</v>
      </c>
      <c r="C5" s="15" t="s">
        <v>17</v>
      </c>
      <c r="D5" s="16">
        <v>40</v>
      </c>
      <c r="E5" s="17"/>
      <c r="F5" s="17"/>
      <c r="G5" s="17"/>
      <c r="H5" s="18"/>
      <c r="I5" s="56">
        <f>SUM(Employees[[#This Row],[工作的正常时数]:[病假小时数]])*Employees[[#This Row],[计时工资]]+Employees[[#This Row],[加班小时数]]*Employees[[#This Row],[加班费率]]</f>
        <v>3200</v>
      </c>
      <c r="J5" s="56">
        <f>Employees[[#This Row],[工资总额]]*Employees[[#This Row],[总扣缴税额]] + Employees[[#This Row],[总常规扣款]]</f>
        <v>1317.6000000000001</v>
      </c>
      <c r="K5" s="19"/>
      <c r="L5" s="62">
        <f>Employees[[#This Row],[工资总额]]-Employees[[#This Row],[税款和扣款]]-Employees[[#This Row],[其他扣款]]</f>
        <v>1882.3999999999999</v>
      </c>
      <c r="M5" s="23"/>
      <c r="N5" s="58">
        <v>80</v>
      </c>
      <c r="O5" s="17">
        <v>1</v>
      </c>
      <c r="P5" s="17">
        <v>1</v>
      </c>
      <c r="Q5" s="21">
        <v>2.3E-2</v>
      </c>
      <c r="R5" s="22">
        <v>0.28000000000000003</v>
      </c>
      <c r="S5" s="22">
        <v>6.3E-2</v>
      </c>
      <c r="T5" s="22">
        <v>1.4500000000000001E-2</v>
      </c>
      <c r="U5" s="59">
        <f>SUM(Employees[[#This Row],[州税]:[医疗保险税]])</f>
        <v>0.38050000000000006</v>
      </c>
      <c r="V5" s="63">
        <v>0</v>
      </c>
      <c r="W5" s="57">
        <v>100</v>
      </c>
      <c r="X5" s="60">
        <f>SUM(Employees[[#This Row],[保险扣款]:[其他常规扣款]])</f>
        <v>100</v>
      </c>
    </row>
    <row r="6" spans="2:24" ht="18.75" customHeight="1" x14ac:dyDescent="0.2">
      <c r="B6" s="15">
        <v>1003</v>
      </c>
      <c r="C6" s="15" t="s">
        <v>18</v>
      </c>
      <c r="D6" s="16">
        <v>35</v>
      </c>
      <c r="E6" s="17">
        <v>3</v>
      </c>
      <c r="F6" s="17"/>
      <c r="G6" s="17"/>
      <c r="H6" s="18"/>
      <c r="I6" s="56">
        <f>SUM(Employees[[#This Row],[工作的正常时数]:[病假小时数]])*Employees[[#This Row],[计时工资]]+Employees[[#This Row],[加班小时数]]*Employees[[#This Row],[加班费率]]</f>
        <v>5320</v>
      </c>
      <c r="J6" s="56">
        <f>Employees[[#This Row],[工资总额]]*Employees[[#This Row],[总扣缴税额]] + Employees[[#This Row],[总常规扣款]]</f>
        <v>2404.2600000000002</v>
      </c>
      <c r="K6" s="19"/>
      <c r="L6" s="62">
        <f>Employees[[#This Row],[工资总额]]-Employees[[#This Row],[税款和扣款]]-Employees[[#This Row],[其他扣款]]</f>
        <v>2915.74</v>
      </c>
      <c r="M6" s="23"/>
      <c r="N6" s="58">
        <v>140</v>
      </c>
      <c r="O6" s="17">
        <v>1</v>
      </c>
      <c r="P6" s="17">
        <v>3</v>
      </c>
      <c r="Q6" s="21">
        <v>2.3E-2</v>
      </c>
      <c r="R6" s="22">
        <v>0.28000000000000003</v>
      </c>
      <c r="S6" s="22">
        <v>6.3E-2</v>
      </c>
      <c r="T6" s="22">
        <v>1.4500000000000001E-2</v>
      </c>
      <c r="U6" s="59">
        <f>SUM(Employees[[#This Row],[州税]:[医疗保险税]])</f>
        <v>0.38050000000000006</v>
      </c>
      <c r="V6" s="57">
        <v>180</v>
      </c>
      <c r="W6" s="57">
        <v>200</v>
      </c>
      <c r="X6" s="60">
        <f>SUM(Employees[[#This Row],[保险扣款]:[其他常规扣款]])</f>
        <v>380</v>
      </c>
    </row>
    <row r="7" spans="2:24" ht="18.75" customHeight="1" x14ac:dyDescent="0.2">
      <c r="B7" s="15">
        <v>1008</v>
      </c>
      <c r="C7" s="15" t="s">
        <v>19</v>
      </c>
      <c r="D7" s="16">
        <v>50</v>
      </c>
      <c r="E7" s="17">
        <v>5</v>
      </c>
      <c r="F7" s="17">
        <v>1</v>
      </c>
      <c r="G7" s="17"/>
      <c r="H7" s="18"/>
      <c r="I7" s="56">
        <f>SUM(Employees[[#This Row],[工作的正常时数]:[病假小时数]])*Employees[[#This Row],[计时工资]]+Employees[[#This Row],[加班小时数]]*Employees[[#This Row],[加班费率]]</f>
        <v>11200</v>
      </c>
      <c r="J7" s="56">
        <f>Employees[[#This Row],[工资总额]]*Employees[[#This Row],[总扣缴税额]] + Employees[[#This Row],[总常规扣款]]</f>
        <v>4411.6000000000004</v>
      </c>
      <c r="K7" s="19"/>
      <c r="L7" s="62">
        <f>Employees[[#This Row],[工资总额]]-Employees[[#This Row],[税款和扣款]]-Employees[[#This Row],[其他扣款]]</f>
        <v>6788.4</v>
      </c>
      <c r="M7" s="23"/>
      <c r="N7" s="58">
        <v>200</v>
      </c>
      <c r="O7" s="17">
        <v>1</v>
      </c>
      <c r="P7" s="17">
        <v>0</v>
      </c>
      <c r="Q7" s="21">
        <v>2.3E-2</v>
      </c>
      <c r="R7" s="22">
        <v>0.28000000000000003</v>
      </c>
      <c r="S7" s="22">
        <v>6.3E-2</v>
      </c>
      <c r="T7" s="22">
        <v>1.4500000000000001E-2</v>
      </c>
      <c r="U7" s="59">
        <f>SUM(Employees[[#This Row],[州税]:[医疗保险税]])</f>
        <v>0.38050000000000006</v>
      </c>
      <c r="V7" s="57">
        <v>150</v>
      </c>
      <c r="W7" s="19"/>
      <c r="X7" s="60">
        <f>SUM(Employees[[#This Row],[保险扣款]:[其他常规扣款]])</f>
        <v>150</v>
      </c>
    </row>
    <row r="8" spans="2:24" ht="18.75" customHeight="1" x14ac:dyDescent="0.2">
      <c r="B8" s="15">
        <v>1011</v>
      </c>
      <c r="C8" s="15" t="s">
        <v>20</v>
      </c>
      <c r="D8" s="16">
        <v>40</v>
      </c>
      <c r="E8" s="17"/>
      <c r="F8" s="17"/>
      <c r="G8" s="17">
        <v>2</v>
      </c>
      <c r="H8" s="58">
        <v>150</v>
      </c>
      <c r="I8" s="56">
        <f>SUM(Employees[[#This Row],[工作的正常时数]:[病假小时数]])*Employees[[#This Row],[计时工资]]+Employees[[#This Row],[加班小时数]]*Employees[[#This Row],[加班费率]]</f>
        <v>4300</v>
      </c>
      <c r="J8" s="56">
        <f>Employees[[#This Row],[工资总额]]*Employees[[#This Row],[总扣缴税额]] + Employees[[#This Row],[总常规扣款]]</f>
        <v>2236.1500000000005</v>
      </c>
      <c r="K8" s="19"/>
      <c r="L8" s="62">
        <f>Employees[[#This Row],[工资总额]]-Employees[[#This Row],[税款和扣款]]-Employees[[#This Row],[其他扣款]]</f>
        <v>2063.8499999999995</v>
      </c>
      <c r="M8" s="23"/>
      <c r="N8" s="58">
        <v>100</v>
      </c>
      <c r="O8" s="17">
        <v>1</v>
      </c>
      <c r="P8" s="17">
        <v>0</v>
      </c>
      <c r="Q8" s="21">
        <v>2.3E-2</v>
      </c>
      <c r="R8" s="22">
        <v>0.28000000000000003</v>
      </c>
      <c r="S8" s="22">
        <v>6.3E-2</v>
      </c>
      <c r="T8" s="22">
        <v>1.4500000000000001E-2</v>
      </c>
      <c r="U8" s="59">
        <f>SUM(Employees[[#This Row],[州税]:[医疗保险税]])</f>
        <v>0.38050000000000006</v>
      </c>
      <c r="V8" s="57">
        <v>200</v>
      </c>
      <c r="W8" s="57">
        <v>400</v>
      </c>
      <c r="X8" s="60">
        <f>SUM(Employees[[#This Row],[保险扣款]:[其他常规扣款]])</f>
        <v>600</v>
      </c>
    </row>
    <row r="9" spans="2:24" ht="18.75" customHeight="1" x14ac:dyDescent="0.2">
      <c r="B9" s="15">
        <v>1012</v>
      </c>
      <c r="C9" s="15" t="s">
        <v>21</v>
      </c>
      <c r="D9" s="16">
        <v>40</v>
      </c>
      <c r="E9" s="17">
        <v>5</v>
      </c>
      <c r="F9" s="17">
        <v>1</v>
      </c>
      <c r="G9" s="17"/>
      <c r="H9" s="18"/>
      <c r="I9" s="56">
        <f>SUM(Employees[[#This Row],[工作的正常时数]:[病假小时数]])*Employees[[#This Row],[计时工资]]+Employees[[#This Row],[加班小时数]]*Employees[[#This Row],[加班费率]]</f>
        <v>5520</v>
      </c>
      <c r="J9" s="56">
        <f>Employees[[#This Row],[工资总额]]*Employees[[#This Row],[总扣缴税额]] + Employees[[#This Row],[总常规扣款]]</f>
        <v>2700.36</v>
      </c>
      <c r="K9" s="19"/>
      <c r="L9" s="62">
        <f>Employees[[#This Row],[工资总额]]-Employees[[#This Row],[税款和扣款]]-Employees[[#This Row],[其他扣款]]</f>
        <v>2819.64</v>
      </c>
      <c r="M9" s="23"/>
      <c r="N9" s="58">
        <v>120</v>
      </c>
      <c r="O9" s="17">
        <v>1</v>
      </c>
      <c r="P9" s="17">
        <v>4</v>
      </c>
      <c r="Q9" s="21">
        <v>2.3E-2</v>
      </c>
      <c r="R9" s="22">
        <v>0.28000000000000003</v>
      </c>
      <c r="S9" s="22">
        <v>6.3E-2</v>
      </c>
      <c r="T9" s="22">
        <v>1.4500000000000001E-2</v>
      </c>
      <c r="U9" s="59">
        <f>SUM(Employees[[#This Row],[州税]:[医疗保险税]])</f>
        <v>0.38050000000000006</v>
      </c>
      <c r="V9" s="57">
        <v>200</v>
      </c>
      <c r="W9" s="57">
        <v>400</v>
      </c>
      <c r="X9" s="60">
        <f>SUM(Employees[[#This Row],[保险扣款]:[其他常规扣款]])</f>
        <v>600</v>
      </c>
    </row>
    <row r="10" spans="2:24" ht="18.75" customHeight="1" x14ac:dyDescent="0.2">
      <c r="B10" s="15">
        <v>1025</v>
      </c>
      <c r="C10" s="15" t="s">
        <v>22</v>
      </c>
      <c r="D10" s="16">
        <v>36</v>
      </c>
      <c r="E10" s="17"/>
      <c r="F10" s="17">
        <v>2</v>
      </c>
      <c r="G10" s="17">
        <v>1</v>
      </c>
      <c r="H10" s="58">
        <v>180</v>
      </c>
      <c r="I10" s="56">
        <f>SUM(Employees[[#This Row],[工作的正常时数]:[病假小时数]])*Employees[[#This Row],[计时工资]]+Employees[[#This Row],[加班小时数]]*Employees[[#This Row],[加班费率]]</f>
        <v>4740</v>
      </c>
      <c r="J10" s="56">
        <f>Employees[[#This Row],[工资总额]]*Employees[[#This Row],[总扣缴税额]] + Employees[[#This Row],[总常规扣款]]</f>
        <v>2253.5700000000006</v>
      </c>
      <c r="K10" s="57">
        <v>250</v>
      </c>
      <c r="L10" s="62">
        <f>Employees[[#This Row],[工资总额]]-Employees[[#This Row],[税款和扣款]]-Employees[[#This Row],[其他扣款]]</f>
        <v>2236.4299999999994</v>
      </c>
      <c r="M10" s="23"/>
      <c r="N10" s="58">
        <v>120</v>
      </c>
      <c r="O10" s="17">
        <v>1</v>
      </c>
      <c r="P10" s="17">
        <v>2</v>
      </c>
      <c r="Q10" s="21">
        <v>2.3E-2</v>
      </c>
      <c r="R10" s="22">
        <v>0.28000000000000003</v>
      </c>
      <c r="S10" s="22">
        <v>6.3E-2</v>
      </c>
      <c r="T10" s="22">
        <v>1.4500000000000001E-2</v>
      </c>
      <c r="U10" s="59">
        <f>SUM(Employees[[#This Row],[州税]:[医疗保险税]])</f>
        <v>0.38050000000000006</v>
      </c>
      <c r="V10" s="57">
        <v>250</v>
      </c>
      <c r="W10" s="57">
        <v>200</v>
      </c>
      <c r="X10" s="60">
        <f>SUM(Employees[[#This Row],[保险扣款]:[其他常规扣款]])</f>
        <v>450</v>
      </c>
    </row>
    <row r="11" spans="2:24" ht="18.75" customHeight="1" x14ac:dyDescent="0.2">
      <c r="B11" s="15">
        <v>1032</v>
      </c>
      <c r="C11" s="15" t="s">
        <v>23</v>
      </c>
      <c r="D11" s="16">
        <v>40</v>
      </c>
      <c r="E11" s="17">
        <v>5</v>
      </c>
      <c r="F11" s="17">
        <v>1</v>
      </c>
      <c r="G11" s="17"/>
      <c r="H11" s="18"/>
      <c r="I11" s="56">
        <f>SUM(Employees[[#This Row],[工作的正常时数]:[病假小时数]])*Employees[[#This Row],[计时工资]]+Employees[[#This Row],[加班小时数]]*Employees[[#This Row],[加班费率]]</f>
        <v>4600</v>
      </c>
      <c r="J11" s="56">
        <f>Employees[[#This Row],[工资总额]]*Employees[[#This Row],[总扣缴税额]] + Employees[[#This Row],[总常规扣款]]</f>
        <v>1750.3000000000002</v>
      </c>
      <c r="K11" s="57">
        <v>500</v>
      </c>
      <c r="L11" s="62">
        <f>Employees[[#This Row],[工资总额]]-Employees[[#This Row],[税款和扣款]]-Employees[[#This Row],[其他扣款]]</f>
        <v>2349.6999999999998</v>
      </c>
      <c r="M11" s="23"/>
      <c r="N11" s="58">
        <v>100</v>
      </c>
      <c r="O11" s="17">
        <v>1</v>
      </c>
      <c r="P11" s="17">
        <v>3</v>
      </c>
      <c r="Q11" s="21">
        <v>2.3E-2</v>
      </c>
      <c r="R11" s="22">
        <v>0.28000000000000003</v>
      </c>
      <c r="S11" s="22">
        <v>6.3E-2</v>
      </c>
      <c r="T11" s="22">
        <v>1.4500000000000001E-2</v>
      </c>
      <c r="U11" s="59">
        <f>SUM(Employees[[#This Row],[州税]:[医疗保险税]])</f>
        <v>0.38050000000000006</v>
      </c>
      <c r="V11" s="19"/>
      <c r="W11" s="19"/>
      <c r="X11" s="61">
        <f>SUM(Employees[[#This Row],[保险扣款]:[其他常规扣款]])</f>
        <v>0</v>
      </c>
    </row>
    <row r="12" spans="2:24" ht="18.75" customHeight="1" x14ac:dyDescent="0.2">
      <c r="B12" s="15">
        <v>1049</v>
      </c>
      <c r="C12" s="15" t="s">
        <v>24</v>
      </c>
      <c r="D12" s="16">
        <v>40</v>
      </c>
      <c r="E12" s="17">
        <v>1</v>
      </c>
      <c r="F12" s="17"/>
      <c r="G12" s="17"/>
      <c r="H12" s="18"/>
      <c r="I12" s="56">
        <f>SUM(Employees[[#This Row],[工作的正常时数]:[病假小时数]])*Employees[[#This Row],[计时工资]]+Employees[[#This Row],[加班小时数]]*Employees[[#This Row],[加班费率]]</f>
        <v>6150</v>
      </c>
      <c r="J12" s="56">
        <f>Employees[[#This Row],[工资总额]]*Employees[[#This Row],[总扣缴税额]] + Employees[[#This Row],[总常规扣款]]</f>
        <v>2590.0750000000003</v>
      </c>
      <c r="K12" s="57">
        <v>230</v>
      </c>
      <c r="L12" s="62">
        <f>Employees[[#This Row],[工资总额]]-Employees[[#This Row],[税款和扣款]]-Employees[[#This Row],[其他扣款]]</f>
        <v>3329.9249999999997</v>
      </c>
      <c r="M12" s="24"/>
      <c r="N12" s="58">
        <v>150</v>
      </c>
      <c r="O12" s="17">
        <v>1</v>
      </c>
      <c r="P12" s="17">
        <v>2</v>
      </c>
      <c r="Q12" s="21">
        <v>2.3E-2</v>
      </c>
      <c r="R12" s="22">
        <v>0.28000000000000003</v>
      </c>
      <c r="S12" s="22">
        <v>6.3E-2</v>
      </c>
      <c r="T12" s="22">
        <v>1.4500000000000001E-2</v>
      </c>
      <c r="U12" s="59">
        <f>SUM(Employees[[#This Row],[州税]:[医疗保险税]])</f>
        <v>0.38050000000000006</v>
      </c>
      <c r="V12" s="57">
        <v>250</v>
      </c>
      <c r="W12" s="19"/>
      <c r="X12" s="60">
        <f>SUM(Employees[[#This Row],[保险扣款]:[其他常规扣款]])</f>
        <v>250</v>
      </c>
    </row>
    <row r="13" spans="2:24" ht="18.75" customHeight="1" x14ac:dyDescent="0.2">
      <c r="B13" s="15" t="s">
        <v>25</v>
      </c>
      <c r="C13" s="15">
        <f>SUBTOTAL(103,Employees[员工姓名])</f>
        <v>9</v>
      </c>
      <c r="D13" s="16">
        <f>SUBTOTAL(109,Employees[工作的正常时数])</f>
        <v>371</v>
      </c>
      <c r="E13" s="17">
        <f>SUBTOTAL(109,Employees[假期小时数])</f>
        <v>24</v>
      </c>
      <c r="F13" s="17">
        <f>SUBTOTAL(109,Employees[病假小时数])</f>
        <v>6</v>
      </c>
      <c r="G13" s="17">
        <f>SUBTOTAL(109,Employees[加班小时数])</f>
        <v>3</v>
      </c>
      <c r="H13" s="17"/>
      <c r="I13" s="57">
        <f>SUBTOTAL(109,Employees[工资总额])</f>
        <v>50630</v>
      </c>
      <c r="J13" s="57">
        <f>SUBTOTAL(109,Employees[税款和扣款])</f>
        <v>22394.715000000004</v>
      </c>
      <c r="K13" s="57">
        <f>SUBTOTAL(109,Employees[其他扣款])</f>
        <v>1180</v>
      </c>
      <c r="L13" s="57">
        <f>SUBTOTAL(109,Employees[净薪金])</f>
        <v>27055.284999999996</v>
      </c>
      <c r="M13" s="25"/>
      <c r="N13" s="17"/>
      <c r="O13" s="17"/>
      <c r="P13" s="17"/>
      <c r="Q13" s="17"/>
      <c r="R13" s="17"/>
      <c r="S13" s="17"/>
      <c r="T13" s="17"/>
      <c r="U13" s="17"/>
      <c r="V13" s="57">
        <f>SUBTOTAL(109,Employees[保险扣款])</f>
        <v>1430</v>
      </c>
      <c r="W13" s="57">
        <f>SUBTOTAL(109,Employees[其他常规扣款])</f>
        <v>1700</v>
      </c>
      <c r="X13" s="57">
        <f>SUBTOTAL(109,Employees[总常规扣款])</f>
        <v>3130</v>
      </c>
    </row>
  </sheetData>
  <phoneticPr fontId="7" type="noConversion"/>
  <printOptions horizontalCentered="1"/>
  <pageMargins left="0.25" right="0.25" top="0.75" bottom="0.75" header="0.3" footer="0.3"/>
  <pageSetup scale="49" fitToHeight="0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B1:P49"/>
  <sheetViews>
    <sheetView showGridLines="0" zoomScaleNormal="100" workbookViewId="0">
      <selection activeCell="E22" sqref="E22"/>
    </sheetView>
  </sheetViews>
  <sheetFormatPr defaultRowHeight="16.5" x14ac:dyDescent="0.2"/>
  <cols>
    <col min="1" max="1" width="2.7109375" style="7" customWidth="1"/>
    <col min="2" max="2" width="2.42578125" style="7" customWidth="1"/>
    <col min="3" max="3" width="9.42578125" style="7" customWidth="1"/>
    <col min="4" max="4" width="13.28515625" style="7" customWidth="1"/>
    <col min="5" max="5" width="14.28515625" style="7" customWidth="1"/>
    <col min="6" max="6" width="2.28515625" style="7" customWidth="1"/>
    <col min="7" max="7" width="8.5703125" style="7" customWidth="1"/>
    <col min="8" max="8" width="17.7109375" style="7" customWidth="1"/>
    <col min="9" max="9" width="18.85546875" style="7" customWidth="1"/>
    <col min="10" max="10" width="2.28515625" style="7" customWidth="1"/>
    <col min="11" max="11" width="15.28515625" style="7" customWidth="1"/>
    <col min="12" max="12" width="7.28515625" style="7" customWidth="1"/>
    <col min="13" max="13" width="14.28515625" style="7" customWidth="1"/>
    <col min="14" max="15" width="2.42578125" style="7" customWidth="1"/>
    <col min="16" max="16384" width="9.140625" style="7"/>
  </cols>
  <sheetData>
    <row r="1" spans="2:16" ht="15" customHeight="1" thickBot="1" x14ac:dyDescent="0.25">
      <c r="P1" s="26"/>
    </row>
    <row r="2" spans="2:16" ht="27.75" customHeight="1" x14ac:dyDescent="0.2">
      <c r="B2" s="27"/>
      <c r="C2" s="28" t="str">
        <f>CompanyName</f>
        <v>嘉元实业</v>
      </c>
      <c r="D2" s="28"/>
      <c r="E2" s="29"/>
      <c r="F2" s="29"/>
      <c r="G2" s="29"/>
      <c r="H2" s="29"/>
      <c r="I2" s="29"/>
      <c r="J2" s="29"/>
      <c r="K2" s="29"/>
      <c r="L2" s="29"/>
      <c r="M2" s="29"/>
      <c r="N2" s="30"/>
      <c r="O2" s="31"/>
      <c r="P2" s="26"/>
    </row>
    <row r="3" spans="2:16" ht="16.5" customHeight="1" x14ac:dyDescent="0.2">
      <c r="B3" s="32"/>
      <c r="C3" s="33" t="s">
        <v>37</v>
      </c>
      <c r="D3" s="66">
        <f>PeriodEnding</f>
        <v>41372</v>
      </c>
      <c r="E3" s="66"/>
      <c r="F3" s="34"/>
      <c r="G3" s="33" t="s">
        <v>38</v>
      </c>
      <c r="H3" s="64" t="str">
        <f>IFERROR(INDEX(Employees[员工姓名],Stub),"")</f>
        <v>林国治</v>
      </c>
      <c r="I3" s="64"/>
      <c r="J3" s="35"/>
      <c r="K3" s="33" t="s">
        <v>39</v>
      </c>
      <c r="L3" s="65">
        <f>IFERROR(INDEX(Employees[ID],Stub),"")</f>
        <v>1001</v>
      </c>
      <c r="M3" s="65"/>
      <c r="N3" s="36"/>
      <c r="O3" s="31"/>
      <c r="P3" s="26"/>
    </row>
    <row r="4" spans="2:16" ht="16.5" customHeight="1" x14ac:dyDescent="0.3">
      <c r="B4" s="32"/>
      <c r="C4" s="37" t="s">
        <v>27</v>
      </c>
      <c r="D4" s="38"/>
      <c r="E4" s="39">
        <f>IFERROR(INDEX(Employees[纳税状态],Stub),"")</f>
        <v>1</v>
      </c>
      <c r="F4" s="40"/>
      <c r="G4" s="37" t="s">
        <v>44</v>
      </c>
      <c r="H4" s="38"/>
      <c r="I4" s="39">
        <f>IFERROR(INDEX(Employees[联邦允许],Stub),"")</f>
        <v>4</v>
      </c>
      <c r="J4" s="40"/>
      <c r="K4" s="37" t="s">
        <v>47</v>
      </c>
      <c r="L4" s="38"/>
      <c r="M4" s="39">
        <f>IFERROR(INDEX(Employees[工作的正常时数],Stub),"")</f>
        <v>50</v>
      </c>
      <c r="N4" s="36"/>
      <c r="O4" s="31"/>
      <c r="P4" s="26"/>
    </row>
    <row r="5" spans="2:16" ht="16.5" customHeight="1" x14ac:dyDescent="0.3">
      <c r="B5" s="32"/>
      <c r="C5" s="41" t="s">
        <v>40</v>
      </c>
      <c r="D5" s="42"/>
      <c r="E5" s="53">
        <f>IFERROR(INDEX(Employees[计时工资],Stub),"")</f>
        <v>100</v>
      </c>
      <c r="F5" s="43"/>
      <c r="G5" s="41" t="s">
        <v>11</v>
      </c>
      <c r="H5" s="42"/>
      <c r="I5" s="53">
        <f>IFERROR(INDEX(Employees[加班费率],Stub),"")</f>
        <v>0</v>
      </c>
      <c r="J5" s="43"/>
      <c r="K5" s="41" t="s">
        <v>9</v>
      </c>
      <c r="L5" s="42"/>
      <c r="M5" s="44">
        <f>IFERROR(INDEX(Employees[病假小时数],Stub),"")</f>
        <v>1</v>
      </c>
      <c r="N5" s="36"/>
      <c r="O5" s="31"/>
      <c r="P5" s="26"/>
    </row>
    <row r="6" spans="2:16" ht="16.5" customHeight="1" x14ac:dyDescent="0.3">
      <c r="B6" s="32"/>
      <c r="C6" s="41" t="s">
        <v>31</v>
      </c>
      <c r="D6" s="42"/>
      <c r="E6" s="53">
        <f>IFERROR(INDEX(Employees[社会保障税],Stub)  *  INDEX(Employees[工资总额],Stub),"")</f>
        <v>352.8</v>
      </c>
      <c r="F6" s="43"/>
      <c r="G6" s="41" t="s">
        <v>45</v>
      </c>
      <c r="H6" s="42"/>
      <c r="I6" s="53">
        <f>IFERROR(INDEX(Employees[联邦所得税],Stub)  *  INDEX(Employees[工资总额],Stub),"")</f>
        <v>1568.0000000000002</v>
      </c>
      <c r="J6" s="43"/>
      <c r="K6" s="41" t="s">
        <v>8</v>
      </c>
      <c r="L6" s="42"/>
      <c r="M6" s="44">
        <f>IFERROR(INDEX(Employees[假期小时数],Stub),"")</f>
        <v>5</v>
      </c>
      <c r="N6" s="36"/>
      <c r="O6" s="31"/>
      <c r="P6" s="26"/>
    </row>
    <row r="7" spans="2:16" ht="16.5" customHeight="1" x14ac:dyDescent="0.3">
      <c r="B7" s="32"/>
      <c r="C7" s="41" t="s">
        <v>41</v>
      </c>
      <c r="D7" s="42"/>
      <c r="E7" s="53">
        <f>IFERROR(INDEX(Employees[医疗保险税],Stub)  *  INDEX(Employees[工资总额],Stub),"")</f>
        <v>81.2</v>
      </c>
      <c r="F7" s="43"/>
      <c r="G7" s="41" t="s">
        <v>46</v>
      </c>
      <c r="H7" s="42"/>
      <c r="I7" s="53">
        <f>IFERROR(INDEX(Employees[州税],Stub)  *  INDEX(Employees[工资总额],Stub),"")</f>
        <v>128.80000000000001</v>
      </c>
      <c r="J7" s="43"/>
      <c r="K7" s="41" t="s">
        <v>10</v>
      </c>
      <c r="L7" s="42"/>
      <c r="M7" s="44">
        <f>IFERROR(INDEX(Employees[加班小时数],Stub),"")</f>
        <v>0</v>
      </c>
      <c r="N7" s="36"/>
      <c r="O7" s="31"/>
      <c r="P7" s="26"/>
    </row>
    <row r="8" spans="2:16" ht="16.5" customHeight="1" x14ac:dyDescent="0.3">
      <c r="B8" s="32"/>
      <c r="C8" s="41" t="s">
        <v>34</v>
      </c>
      <c r="D8" s="42"/>
      <c r="E8" s="53">
        <f>IFERROR(INDEX(Employees[保险扣款],Stub),"")</f>
        <v>200</v>
      </c>
      <c r="F8" s="43"/>
      <c r="G8" s="41" t="s">
        <v>35</v>
      </c>
      <c r="H8" s="42"/>
      <c r="I8" s="53">
        <f>IFERROR(INDEX(Employees[其他常规扣款],Stub),"")</f>
        <v>400</v>
      </c>
      <c r="J8" s="43"/>
      <c r="K8" s="41" t="s">
        <v>12</v>
      </c>
      <c r="L8" s="42"/>
      <c r="M8" s="53">
        <f>IFERROR(INDEX(Employees[工资总额],Stub),"")</f>
        <v>5600</v>
      </c>
      <c r="N8" s="36"/>
      <c r="O8" s="31"/>
      <c r="P8" s="26"/>
    </row>
    <row r="9" spans="2:16" ht="16.5" customHeight="1" x14ac:dyDescent="0.3">
      <c r="B9" s="32"/>
      <c r="C9" s="67" t="s">
        <v>42</v>
      </c>
      <c r="D9" s="68"/>
      <c r="E9" s="54">
        <f>IFERROR(INDEX(Employees[税款和扣款],Stub),"")</f>
        <v>2730.8</v>
      </c>
      <c r="F9" s="43"/>
      <c r="G9" s="41" t="s">
        <v>14</v>
      </c>
      <c r="H9" s="45"/>
      <c r="I9" s="53">
        <f>IFERROR(INDEX(Employees[其他扣款],Stub),"")</f>
        <v>200</v>
      </c>
      <c r="J9" s="43"/>
      <c r="K9" s="41" t="s">
        <v>48</v>
      </c>
      <c r="L9" s="45"/>
      <c r="M9" s="53">
        <f>IFERROR(INDEX(Employees[税款和扣款],Stub)  +  INDEX(Employees[其他扣款],Stub),"")</f>
        <v>2930.8</v>
      </c>
      <c r="N9" s="36"/>
      <c r="O9" s="31"/>
      <c r="P9" s="26"/>
    </row>
    <row r="10" spans="2:16" ht="16.5" customHeight="1" x14ac:dyDescent="0.2">
      <c r="B10" s="32"/>
      <c r="C10" s="69" t="s">
        <v>43</v>
      </c>
      <c r="D10" s="70"/>
      <c r="E10" s="46"/>
      <c r="F10" s="43"/>
      <c r="G10" s="47"/>
      <c r="H10" s="48"/>
      <c r="I10" s="46"/>
      <c r="J10" s="43"/>
      <c r="K10" s="47"/>
      <c r="L10" s="48"/>
      <c r="M10" s="46"/>
      <c r="N10" s="36"/>
      <c r="O10" s="31"/>
      <c r="P10" s="26"/>
    </row>
    <row r="11" spans="2:16" ht="15.75" customHeight="1" x14ac:dyDescent="0.2">
      <c r="B11" s="32"/>
      <c r="C11" s="49"/>
      <c r="D11" s="49"/>
      <c r="E11" s="49"/>
      <c r="F11" s="49"/>
      <c r="G11" s="49"/>
      <c r="H11" s="49"/>
      <c r="I11" s="49"/>
      <c r="J11" s="49"/>
      <c r="K11" s="50" t="s">
        <v>15</v>
      </c>
      <c r="L11" s="50"/>
      <c r="M11" s="55">
        <f>IFERROR(INDEX(Employees[净薪金],Stub),"")</f>
        <v>2669.2</v>
      </c>
      <c r="N11" s="36"/>
      <c r="O11" s="31"/>
      <c r="P11" s="26"/>
    </row>
    <row r="12" spans="2:16" ht="10.5" customHeight="1" thickBot="1" x14ac:dyDescent="0.25">
      <c r="B12" s="51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52"/>
      <c r="O12" s="31"/>
      <c r="P12" s="26"/>
    </row>
    <row r="13" spans="2:16" ht="15" customHeight="1" thickBot="1" x14ac:dyDescent="0.25">
      <c r="P13" s="26"/>
    </row>
    <row r="14" spans="2:16" ht="27.75" customHeight="1" x14ac:dyDescent="0.2">
      <c r="B14" s="27"/>
      <c r="C14" s="28" t="str">
        <f>CompanyName</f>
        <v>嘉元实业</v>
      </c>
      <c r="D14" s="28"/>
      <c r="E14" s="29"/>
      <c r="F14" s="29"/>
      <c r="G14" s="29"/>
      <c r="H14" s="29"/>
      <c r="I14" s="29"/>
      <c r="J14" s="29"/>
      <c r="K14" s="29"/>
      <c r="L14" s="29"/>
      <c r="M14" s="29"/>
      <c r="N14" s="30"/>
      <c r="O14" s="31"/>
      <c r="P14" s="26"/>
    </row>
    <row r="15" spans="2:16" ht="16.5" customHeight="1" x14ac:dyDescent="0.2">
      <c r="B15" s="32"/>
      <c r="C15" s="33" t="s">
        <v>37</v>
      </c>
      <c r="D15" s="66">
        <f>PeriodEnding</f>
        <v>41372</v>
      </c>
      <c r="E15" s="66"/>
      <c r="F15" s="34"/>
      <c r="G15" s="33" t="s">
        <v>38</v>
      </c>
      <c r="H15" s="64" t="str">
        <f>IFERROR(INDEX(Employees[员工姓名],Stub),"")</f>
        <v>赵军</v>
      </c>
      <c r="I15" s="64"/>
      <c r="J15" s="35"/>
      <c r="K15" s="33" t="s">
        <v>39</v>
      </c>
      <c r="L15" s="65">
        <f>IFERROR(INDEX(Employees[ID],Stub),"")</f>
        <v>1002</v>
      </c>
      <c r="M15" s="65"/>
      <c r="N15" s="36"/>
      <c r="O15" s="31"/>
      <c r="P15" s="26"/>
    </row>
    <row r="16" spans="2:16" ht="16.5" customHeight="1" x14ac:dyDescent="0.3">
      <c r="B16" s="32"/>
      <c r="C16" s="37" t="s">
        <v>27</v>
      </c>
      <c r="D16" s="38"/>
      <c r="E16" s="39">
        <f>IFERROR(INDEX(Employees[纳税状态],Stub),"")</f>
        <v>1</v>
      </c>
      <c r="F16" s="40"/>
      <c r="G16" s="37" t="s">
        <v>44</v>
      </c>
      <c r="H16" s="38"/>
      <c r="I16" s="39">
        <f>IFERROR(INDEX(Employees[联邦允许],Stub),"")</f>
        <v>1</v>
      </c>
      <c r="J16" s="40"/>
      <c r="K16" s="37" t="s">
        <v>47</v>
      </c>
      <c r="L16" s="38"/>
      <c r="M16" s="39">
        <f>IFERROR(INDEX(Employees[工作的正常时数],Stub),"")</f>
        <v>40</v>
      </c>
      <c r="N16" s="36"/>
      <c r="O16" s="31"/>
      <c r="P16" s="26"/>
    </row>
    <row r="17" spans="2:16" ht="16.5" customHeight="1" x14ac:dyDescent="0.3">
      <c r="B17" s="32"/>
      <c r="C17" s="41" t="s">
        <v>40</v>
      </c>
      <c r="D17" s="42"/>
      <c r="E17" s="53">
        <f>IFERROR(INDEX(Employees[计时工资],Stub),"")</f>
        <v>80</v>
      </c>
      <c r="F17" s="43"/>
      <c r="G17" s="41" t="s">
        <v>11</v>
      </c>
      <c r="H17" s="42"/>
      <c r="I17" s="53">
        <f>IFERROR(INDEX(Employees[加班费率],Stub),"")</f>
        <v>0</v>
      </c>
      <c r="J17" s="43"/>
      <c r="K17" s="41" t="s">
        <v>9</v>
      </c>
      <c r="L17" s="42"/>
      <c r="M17" s="44">
        <f>IFERROR(INDEX(Employees[病假小时数],Stub),"")</f>
        <v>0</v>
      </c>
      <c r="N17" s="36"/>
      <c r="O17" s="31"/>
      <c r="P17" s="26"/>
    </row>
    <row r="18" spans="2:16" ht="16.5" customHeight="1" x14ac:dyDescent="0.3">
      <c r="B18" s="32"/>
      <c r="C18" s="41" t="s">
        <v>31</v>
      </c>
      <c r="D18" s="42"/>
      <c r="E18" s="53">
        <f>IFERROR(INDEX(Employees[社会保障税],Stub)  *  INDEX(Employees[工资总额],Stub),"")</f>
        <v>201.6</v>
      </c>
      <c r="F18" s="43"/>
      <c r="G18" s="41" t="s">
        <v>45</v>
      </c>
      <c r="H18" s="42"/>
      <c r="I18" s="53">
        <f>IFERROR(INDEX(Employees[联邦所得税],Stub)  *  INDEX(Employees[工资总额],Stub),"")</f>
        <v>896.00000000000011</v>
      </c>
      <c r="J18" s="43"/>
      <c r="K18" s="41" t="s">
        <v>8</v>
      </c>
      <c r="L18" s="42"/>
      <c r="M18" s="44">
        <f>IFERROR(INDEX(Employees[假期小时数],Stub),"")</f>
        <v>0</v>
      </c>
      <c r="N18" s="36"/>
      <c r="O18" s="31"/>
      <c r="P18" s="26"/>
    </row>
    <row r="19" spans="2:16" ht="16.5" customHeight="1" x14ac:dyDescent="0.3">
      <c r="B19" s="32"/>
      <c r="C19" s="41" t="s">
        <v>41</v>
      </c>
      <c r="D19" s="42"/>
      <c r="E19" s="53">
        <f>IFERROR(INDEX(Employees[医疗保险税],Stub)  *  INDEX(Employees[工资总额],Stub),"")</f>
        <v>46.400000000000006</v>
      </c>
      <c r="F19" s="43"/>
      <c r="G19" s="41" t="s">
        <v>46</v>
      </c>
      <c r="H19" s="42"/>
      <c r="I19" s="53">
        <f>IFERROR(INDEX(Employees[州税],Stub)  *  INDEX(Employees[工资总额],Stub),"")</f>
        <v>73.599999999999994</v>
      </c>
      <c r="J19" s="43"/>
      <c r="K19" s="41" t="s">
        <v>10</v>
      </c>
      <c r="L19" s="42"/>
      <c r="M19" s="44">
        <f>IFERROR(INDEX(Employees[加班小时数],Stub),"")</f>
        <v>0</v>
      </c>
      <c r="N19" s="36"/>
      <c r="O19" s="31"/>
      <c r="P19" s="26"/>
    </row>
    <row r="20" spans="2:16" ht="16.5" customHeight="1" x14ac:dyDescent="0.3">
      <c r="B20" s="32"/>
      <c r="C20" s="41" t="s">
        <v>34</v>
      </c>
      <c r="D20" s="42"/>
      <c r="E20" s="53">
        <f>IFERROR(INDEX(Employees[保险扣款],Stub),"")</f>
        <v>0</v>
      </c>
      <c r="F20" s="43"/>
      <c r="G20" s="41" t="s">
        <v>35</v>
      </c>
      <c r="H20" s="42"/>
      <c r="I20" s="53">
        <f>IFERROR(INDEX(Employees[其他常规扣款],Stub),"")</f>
        <v>100</v>
      </c>
      <c r="J20" s="43"/>
      <c r="K20" s="41" t="s">
        <v>12</v>
      </c>
      <c r="L20" s="42"/>
      <c r="M20" s="53">
        <f>IFERROR(INDEX(Employees[工资总额],Stub),"")</f>
        <v>3200</v>
      </c>
      <c r="N20" s="36"/>
      <c r="O20" s="31"/>
      <c r="P20" s="26"/>
    </row>
    <row r="21" spans="2:16" ht="16.5" customHeight="1" x14ac:dyDescent="0.3">
      <c r="B21" s="32"/>
      <c r="C21" s="67" t="s">
        <v>42</v>
      </c>
      <c r="D21" s="68"/>
      <c r="E21" s="54">
        <f>IFERROR(INDEX(Employees[税款和扣款],Stub),"")</f>
        <v>1317.6000000000001</v>
      </c>
      <c r="F21" s="43"/>
      <c r="G21" s="41" t="s">
        <v>14</v>
      </c>
      <c r="H21" s="45"/>
      <c r="I21" s="53">
        <f>IFERROR(INDEX(Employees[其他扣款],Stub),"")</f>
        <v>0</v>
      </c>
      <c r="J21" s="43"/>
      <c r="K21" s="41" t="s">
        <v>48</v>
      </c>
      <c r="L21" s="45"/>
      <c r="M21" s="53">
        <f>IFERROR(INDEX(Employees[税款和扣款],Stub)  +  INDEX(Employees[其他扣款],Stub),"")</f>
        <v>1317.6000000000001</v>
      </c>
      <c r="N21" s="36"/>
      <c r="O21" s="31"/>
      <c r="P21" s="26"/>
    </row>
    <row r="22" spans="2:16" ht="16.5" customHeight="1" x14ac:dyDescent="0.2">
      <c r="B22" s="32"/>
      <c r="C22" s="69" t="s">
        <v>43</v>
      </c>
      <c r="D22" s="70"/>
      <c r="E22" s="46"/>
      <c r="F22" s="43"/>
      <c r="G22" s="47"/>
      <c r="H22" s="48"/>
      <c r="I22" s="46"/>
      <c r="J22" s="43"/>
      <c r="K22" s="47"/>
      <c r="L22" s="48"/>
      <c r="M22" s="46"/>
      <c r="N22" s="36"/>
      <c r="O22" s="31"/>
      <c r="P22" s="26"/>
    </row>
    <row r="23" spans="2:16" ht="15.75" customHeight="1" x14ac:dyDescent="0.2">
      <c r="B23" s="32"/>
      <c r="C23" s="49"/>
      <c r="D23" s="49"/>
      <c r="E23" s="49"/>
      <c r="F23" s="49"/>
      <c r="G23" s="49"/>
      <c r="H23" s="49"/>
      <c r="I23" s="49"/>
      <c r="J23" s="49"/>
      <c r="K23" s="50" t="s">
        <v>15</v>
      </c>
      <c r="L23" s="50"/>
      <c r="M23" s="55">
        <f>IFERROR(INDEX(Employees[净薪金],Stub),"")</f>
        <v>1882.3999999999999</v>
      </c>
      <c r="N23" s="36"/>
      <c r="O23" s="31"/>
      <c r="P23" s="26"/>
    </row>
    <row r="24" spans="2:16" ht="10.5" customHeight="1" thickBot="1" x14ac:dyDescent="0.25">
      <c r="B24" s="51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52"/>
      <c r="O24" s="31"/>
      <c r="P24" s="26"/>
    </row>
    <row r="25" spans="2:16" ht="15" customHeight="1" thickBot="1" x14ac:dyDescent="0.25">
      <c r="P25" s="26"/>
    </row>
    <row r="26" spans="2:16" ht="27.75" customHeight="1" x14ac:dyDescent="0.2">
      <c r="B26" s="27"/>
      <c r="C26" s="28" t="str">
        <f>CompanyName</f>
        <v>嘉元实业</v>
      </c>
      <c r="D26" s="28"/>
      <c r="E26" s="29"/>
      <c r="F26" s="29"/>
      <c r="G26" s="29"/>
      <c r="H26" s="29"/>
      <c r="I26" s="29"/>
      <c r="J26" s="29"/>
      <c r="K26" s="29"/>
      <c r="L26" s="29"/>
      <c r="M26" s="29"/>
      <c r="N26" s="30"/>
      <c r="O26" s="31"/>
      <c r="P26" s="26"/>
    </row>
    <row r="27" spans="2:16" ht="16.5" customHeight="1" x14ac:dyDescent="0.2">
      <c r="B27" s="32"/>
      <c r="C27" s="33" t="s">
        <v>37</v>
      </c>
      <c r="D27" s="66">
        <f>PeriodEnding</f>
        <v>41372</v>
      </c>
      <c r="E27" s="66"/>
      <c r="F27" s="34"/>
      <c r="G27" s="33" t="s">
        <v>38</v>
      </c>
      <c r="H27" s="64" t="str">
        <f>IFERROR(INDEX(Employees[员工姓名],Stub),"")</f>
        <v>史美萍</v>
      </c>
      <c r="I27" s="64"/>
      <c r="J27" s="35"/>
      <c r="K27" s="33" t="s">
        <v>39</v>
      </c>
      <c r="L27" s="65">
        <f>IFERROR(INDEX(Employees[ID],Stub),"")</f>
        <v>1003</v>
      </c>
      <c r="M27" s="65"/>
      <c r="N27" s="36"/>
      <c r="O27" s="31"/>
      <c r="P27" s="26"/>
    </row>
    <row r="28" spans="2:16" ht="16.5" customHeight="1" x14ac:dyDescent="0.3">
      <c r="B28" s="32"/>
      <c r="C28" s="37" t="s">
        <v>27</v>
      </c>
      <c r="D28" s="38"/>
      <c r="E28" s="39">
        <f>IFERROR(INDEX(Employees[纳税状态],Stub),"")</f>
        <v>1</v>
      </c>
      <c r="F28" s="40"/>
      <c r="G28" s="37" t="s">
        <v>44</v>
      </c>
      <c r="H28" s="38"/>
      <c r="I28" s="39">
        <f>IFERROR(INDEX(Employees[联邦允许],Stub),"")</f>
        <v>3</v>
      </c>
      <c r="J28" s="40"/>
      <c r="K28" s="37" t="s">
        <v>47</v>
      </c>
      <c r="L28" s="38"/>
      <c r="M28" s="39">
        <f>IFERROR(INDEX(Employees[工作的正常时数],Stub),"")</f>
        <v>35</v>
      </c>
      <c r="N28" s="36"/>
      <c r="O28" s="31"/>
      <c r="P28" s="26"/>
    </row>
    <row r="29" spans="2:16" ht="16.5" customHeight="1" x14ac:dyDescent="0.3">
      <c r="B29" s="32"/>
      <c r="C29" s="41" t="s">
        <v>40</v>
      </c>
      <c r="D29" s="42"/>
      <c r="E29" s="53">
        <f>IFERROR(INDEX(Employees[计时工资],Stub),"")</f>
        <v>140</v>
      </c>
      <c r="F29" s="43"/>
      <c r="G29" s="41" t="s">
        <v>11</v>
      </c>
      <c r="H29" s="42"/>
      <c r="I29" s="53">
        <f>IFERROR(INDEX(Employees[加班费率],Stub),"")</f>
        <v>0</v>
      </c>
      <c r="J29" s="43"/>
      <c r="K29" s="41" t="s">
        <v>9</v>
      </c>
      <c r="L29" s="42"/>
      <c r="M29" s="44">
        <f>IFERROR(INDEX(Employees[病假小时数],Stub),"")</f>
        <v>0</v>
      </c>
      <c r="N29" s="36"/>
      <c r="O29" s="31"/>
      <c r="P29" s="26"/>
    </row>
    <row r="30" spans="2:16" ht="16.5" customHeight="1" x14ac:dyDescent="0.3">
      <c r="B30" s="32"/>
      <c r="C30" s="41" t="s">
        <v>31</v>
      </c>
      <c r="D30" s="42"/>
      <c r="E30" s="53">
        <f>IFERROR(INDEX(Employees[社会保障税],Stub)  *  INDEX(Employees[工资总额],Stub),"")</f>
        <v>335.16</v>
      </c>
      <c r="F30" s="43"/>
      <c r="G30" s="41" t="s">
        <v>45</v>
      </c>
      <c r="H30" s="42"/>
      <c r="I30" s="53">
        <f>IFERROR(INDEX(Employees[联邦所得税],Stub)  *  INDEX(Employees[工资总额],Stub),"")</f>
        <v>1489.6000000000001</v>
      </c>
      <c r="J30" s="43"/>
      <c r="K30" s="41" t="s">
        <v>8</v>
      </c>
      <c r="L30" s="42"/>
      <c r="M30" s="44">
        <f>IFERROR(INDEX(Employees[假期小时数],Stub),"")</f>
        <v>3</v>
      </c>
      <c r="N30" s="36"/>
      <c r="O30" s="31"/>
      <c r="P30" s="26"/>
    </row>
    <row r="31" spans="2:16" ht="16.5" customHeight="1" x14ac:dyDescent="0.3">
      <c r="B31" s="32"/>
      <c r="C31" s="41" t="s">
        <v>41</v>
      </c>
      <c r="D31" s="42"/>
      <c r="E31" s="53">
        <f>IFERROR(INDEX(Employees[医疗保险税],Stub)  *  INDEX(Employees[工资总额],Stub),"")</f>
        <v>77.14</v>
      </c>
      <c r="F31" s="43"/>
      <c r="G31" s="41" t="s">
        <v>46</v>
      </c>
      <c r="H31" s="42"/>
      <c r="I31" s="53">
        <f>IFERROR(INDEX(Employees[州税],Stub)  *  INDEX(Employees[工资总额],Stub),"")</f>
        <v>122.36</v>
      </c>
      <c r="J31" s="43"/>
      <c r="K31" s="41" t="s">
        <v>10</v>
      </c>
      <c r="L31" s="42"/>
      <c r="M31" s="44">
        <f>IFERROR(INDEX(Employees[加班小时数],Stub),"")</f>
        <v>0</v>
      </c>
      <c r="N31" s="36"/>
      <c r="O31" s="31"/>
      <c r="P31" s="26"/>
    </row>
    <row r="32" spans="2:16" ht="16.5" customHeight="1" x14ac:dyDescent="0.3">
      <c r="B32" s="32"/>
      <c r="C32" s="41" t="s">
        <v>34</v>
      </c>
      <c r="D32" s="42"/>
      <c r="E32" s="53">
        <f>IFERROR(INDEX(Employees[保险扣款],Stub),"")</f>
        <v>180</v>
      </c>
      <c r="F32" s="43"/>
      <c r="G32" s="41" t="s">
        <v>35</v>
      </c>
      <c r="H32" s="42"/>
      <c r="I32" s="53">
        <f>IFERROR(INDEX(Employees[其他常规扣款],Stub),"")</f>
        <v>200</v>
      </c>
      <c r="J32" s="43"/>
      <c r="K32" s="41" t="s">
        <v>12</v>
      </c>
      <c r="L32" s="42"/>
      <c r="M32" s="53">
        <f>IFERROR(INDEX(Employees[工资总额],Stub),"")</f>
        <v>5320</v>
      </c>
      <c r="N32" s="36"/>
      <c r="O32" s="31"/>
      <c r="P32" s="26"/>
    </row>
    <row r="33" spans="2:16" ht="16.5" customHeight="1" x14ac:dyDescent="0.3">
      <c r="B33" s="32"/>
      <c r="C33" s="67" t="s">
        <v>42</v>
      </c>
      <c r="D33" s="68"/>
      <c r="E33" s="54">
        <f>IFERROR(INDEX(Employees[税款和扣款],Stub),"")</f>
        <v>2404.2600000000002</v>
      </c>
      <c r="F33" s="43"/>
      <c r="G33" s="41" t="s">
        <v>14</v>
      </c>
      <c r="H33" s="45"/>
      <c r="I33" s="53">
        <f>IFERROR(INDEX(Employees[其他扣款],Stub),"")</f>
        <v>0</v>
      </c>
      <c r="J33" s="43"/>
      <c r="K33" s="41" t="s">
        <v>48</v>
      </c>
      <c r="L33" s="45"/>
      <c r="M33" s="53">
        <f>IFERROR(INDEX(Employees[税款和扣款],Stub)  +  INDEX(Employees[其他扣款],Stub),"")</f>
        <v>2404.2600000000002</v>
      </c>
      <c r="N33" s="36"/>
      <c r="O33" s="31"/>
      <c r="P33" s="26"/>
    </row>
    <row r="34" spans="2:16" ht="16.5" customHeight="1" x14ac:dyDescent="0.2">
      <c r="B34" s="32"/>
      <c r="C34" s="69" t="s">
        <v>43</v>
      </c>
      <c r="D34" s="70"/>
      <c r="E34" s="46"/>
      <c r="F34" s="43"/>
      <c r="G34" s="47"/>
      <c r="H34" s="48"/>
      <c r="I34" s="46"/>
      <c r="J34" s="43"/>
      <c r="K34" s="47"/>
      <c r="L34" s="48"/>
      <c r="M34" s="46"/>
      <c r="N34" s="36"/>
      <c r="O34" s="31"/>
      <c r="P34" s="26"/>
    </row>
    <row r="35" spans="2:16" ht="15.75" customHeight="1" x14ac:dyDescent="0.2">
      <c r="B35" s="32"/>
      <c r="C35" s="49"/>
      <c r="D35" s="49"/>
      <c r="E35" s="49"/>
      <c r="F35" s="49"/>
      <c r="G35" s="49"/>
      <c r="H35" s="49"/>
      <c r="I35" s="49"/>
      <c r="J35" s="49"/>
      <c r="K35" s="50" t="s">
        <v>15</v>
      </c>
      <c r="L35" s="50"/>
      <c r="M35" s="55">
        <f>IFERROR(INDEX(Employees[净薪金],Stub),"")</f>
        <v>2915.74</v>
      </c>
      <c r="N35" s="36"/>
      <c r="O35" s="31"/>
      <c r="P35" s="26"/>
    </row>
    <row r="36" spans="2:16" ht="10.5" customHeight="1" thickBot="1" x14ac:dyDescent="0.25">
      <c r="B36" s="51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52"/>
      <c r="O36" s="31"/>
      <c r="P36" s="26"/>
    </row>
    <row r="37" spans="2:16" ht="15" customHeight="1" thickBot="1" x14ac:dyDescent="0.25">
      <c r="P37" s="26"/>
    </row>
    <row r="38" spans="2:16" ht="27.75" customHeight="1" x14ac:dyDescent="0.2">
      <c r="B38" s="27"/>
      <c r="C38" s="28" t="str">
        <f>CompanyName</f>
        <v>嘉元实业</v>
      </c>
      <c r="D38" s="28"/>
      <c r="E38" s="29"/>
      <c r="F38" s="29"/>
      <c r="G38" s="29"/>
      <c r="H38" s="29"/>
      <c r="I38" s="29"/>
      <c r="J38" s="29"/>
      <c r="K38" s="29"/>
      <c r="L38" s="29"/>
      <c r="M38" s="29"/>
      <c r="N38" s="30"/>
      <c r="O38" s="31"/>
      <c r="P38" s="26"/>
    </row>
    <row r="39" spans="2:16" ht="16.5" customHeight="1" x14ac:dyDescent="0.2">
      <c r="B39" s="32"/>
      <c r="C39" s="33" t="s">
        <v>37</v>
      </c>
      <c r="D39" s="66">
        <f>PeriodEnding</f>
        <v>41372</v>
      </c>
      <c r="E39" s="66"/>
      <c r="F39" s="34"/>
      <c r="G39" s="33" t="s">
        <v>38</v>
      </c>
      <c r="H39" s="64" t="str">
        <f>IFERROR(INDEX(Employees[员工姓名],Stub),"")</f>
        <v>沙保国</v>
      </c>
      <c r="I39" s="64"/>
      <c r="J39" s="35"/>
      <c r="K39" s="33" t="s">
        <v>39</v>
      </c>
      <c r="L39" s="65">
        <f>IFERROR(INDEX(Employees[ID],Stub),"")</f>
        <v>1008</v>
      </c>
      <c r="M39" s="65"/>
      <c r="N39" s="36"/>
      <c r="O39" s="31"/>
      <c r="P39" s="26"/>
    </row>
    <row r="40" spans="2:16" ht="16.5" customHeight="1" x14ac:dyDescent="0.3">
      <c r="B40" s="32"/>
      <c r="C40" s="37" t="s">
        <v>27</v>
      </c>
      <c r="D40" s="38"/>
      <c r="E40" s="39">
        <f>IFERROR(INDEX(Employees[纳税状态],Stub),"")</f>
        <v>1</v>
      </c>
      <c r="F40" s="40"/>
      <c r="G40" s="37" t="s">
        <v>44</v>
      </c>
      <c r="H40" s="38"/>
      <c r="I40" s="39">
        <f>IFERROR(INDEX(Employees[联邦允许],Stub),"")</f>
        <v>0</v>
      </c>
      <c r="J40" s="40"/>
      <c r="K40" s="37" t="s">
        <v>47</v>
      </c>
      <c r="L40" s="38"/>
      <c r="M40" s="39">
        <f>IFERROR(INDEX(Employees[工作的正常时数],Stub),"")</f>
        <v>50</v>
      </c>
      <c r="N40" s="36"/>
      <c r="O40" s="31"/>
      <c r="P40" s="26"/>
    </row>
    <row r="41" spans="2:16" ht="16.5" customHeight="1" x14ac:dyDescent="0.3">
      <c r="B41" s="32"/>
      <c r="C41" s="41" t="s">
        <v>40</v>
      </c>
      <c r="D41" s="42"/>
      <c r="E41" s="53">
        <f>IFERROR(INDEX(Employees[计时工资],Stub),"")</f>
        <v>200</v>
      </c>
      <c r="F41" s="43"/>
      <c r="G41" s="41" t="s">
        <v>11</v>
      </c>
      <c r="H41" s="42"/>
      <c r="I41" s="53">
        <f>IFERROR(INDEX(Employees[加班费率],Stub),"")</f>
        <v>0</v>
      </c>
      <c r="J41" s="43"/>
      <c r="K41" s="41" t="s">
        <v>9</v>
      </c>
      <c r="L41" s="42"/>
      <c r="M41" s="44">
        <f>IFERROR(INDEX(Employees[病假小时数],Stub),"")</f>
        <v>1</v>
      </c>
      <c r="N41" s="36"/>
      <c r="O41" s="31"/>
      <c r="P41" s="26"/>
    </row>
    <row r="42" spans="2:16" ht="16.5" customHeight="1" x14ac:dyDescent="0.3">
      <c r="B42" s="32"/>
      <c r="C42" s="41" t="s">
        <v>31</v>
      </c>
      <c r="D42" s="42"/>
      <c r="E42" s="53">
        <f>IFERROR(INDEX(Employees[社会保障税],Stub)  *  INDEX(Employees[工资总额],Stub),"")</f>
        <v>705.6</v>
      </c>
      <c r="F42" s="43"/>
      <c r="G42" s="41" t="s">
        <v>45</v>
      </c>
      <c r="H42" s="42"/>
      <c r="I42" s="53">
        <f>IFERROR(INDEX(Employees[联邦所得税],Stub)  *  INDEX(Employees[工资总额],Stub),"")</f>
        <v>3136.0000000000005</v>
      </c>
      <c r="J42" s="43"/>
      <c r="K42" s="41" t="s">
        <v>8</v>
      </c>
      <c r="L42" s="42"/>
      <c r="M42" s="44">
        <f>IFERROR(INDEX(Employees[假期小时数],Stub),"")</f>
        <v>5</v>
      </c>
      <c r="N42" s="36"/>
      <c r="O42" s="31"/>
      <c r="P42" s="26"/>
    </row>
    <row r="43" spans="2:16" ht="16.5" customHeight="1" x14ac:dyDescent="0.3">
      <c r="B43" s="32"/>
      <c r="C43" s="41" t="s">
        <v>41</v>
      </c>
      <c r="D43" s="42"/>
      <c r="E43" s="53">
        <f>IFERROR(INDEX(Employees[医疗保险税],Stub)  *  INDEX(Employees[工资总额],Stub),"")</f>
        <v>162.4</v>
      </c>
      <c r="F43" s="43"/>
      <c r="G43" s="41" t="s">
        <v>46</v>
      </c>
      <c r="H43" s="42"/>
      <c r="I43" s="53">
        <f>IFERROR(INDEX(Employees[州税],Stub)  *  INDEX(Employees[工资总额],Stub),"")</f>
        <v>257.60000000000002</v>
      </c>
      <c r="J43" s="43"/>
      <c r="K43" s="41" t="s">
        <v>10</v>
      </c>
      <c r="L43" s="42"/>
      <c r="M43" s="44">
        <f>IFERROR(INDEX(Employees[加班小时数],Stub),"")</f>
        <v>0</v>
      </c>
      <c r="N43" s="36"/>
      <c r="O43" s="31"/>
      <c r="P43" s="26"/>
    </row>
    <row r="44" spans="2:16" ht="16.5" customHeight="1" x14ac:dyDescent="0.3">
      <c r="B44" s="32"/>
      <c r="C44" s="41" t="s">
        <v>34</v>
      </c>
      <c r="D44" s="42"/>
      <c r="E44" s="53">
        <f>IFERROR(INDEX(Employees[保险扣款],Stub),"")</f>
        <v>150</v>
      </c>
      <c r="F44" s="43"/>
      <c r="G44" s="41" t="s">
        <v>35</v>
      </c>
      <c r="H44" s="42"/>
      <c r="I44" s="53">
        <f>IFERROR(INDEX(Employees[其他常规扣款],Stub),"")</f>
        <v>0</v>
      </c>
      <c r="J44" s="43"/>
      <c r="K44" s="41" t="s">
        <v>12</v>
      </c>
      <c r="L44" s="42"/>
      <c r="M44" s="53">
        <f>IFERROR(INDEX(Employees[工资总额],Stub),"")</f>
        <v>11200</v>
      </c>
      <c r="N44" s="36"/>
      <c r="O44" s="31"/>
      <c r="P44" s="26"/>
    </row>
    <row r="45" spans="2:16" ht="16.5" customHeight="1" x14ac:dyDescent="0.3">
      <c r="B45" s="32"/>
      <c r="C45" s="67" t="s">
        <v>42</v>
      </c>
      <c r="D45" s="68"/>
      <c r="E45" s="54">
        <f>IFERROR(INDEX(Employees[税款和扣款],Stub),"")</f>
        <v>4411.6000000000004</v>
      </c>
      <c r="F45" s="43"/>
      <c r="G45" s="41" t="s">
        <v>14</v>
      </c>
      <c r="H45" s="45"/>
      <c r="I45" s="53">
        <f>IFERROR(INDEX(Employees[其他扣款],Stub),"")</f>
        <v>0</v>
      </c>
      <c r="J45" s="43"/>
      <c r="K45" s="41" t="s">
        <v>48</v>
      </c>
      <c r="L45" s="45"/>
      <c r="M45" s="53">
        <f>IFERROR(INDEX(Employees[税款和扣款],Stub)  +  INDEX(Employees[其他扣款],Stub),"")</f>
        <v>4411.6000000000004</v>
      </c>
      <c r="N45" s="36"/>
      <c r="O45" s="31"/>
      <c r="P45" s="26"/>
    </row>
    <row r="46" spans="2:16" ht="16.5" customHeight="1" x14ac:dyDescent="0.2">
      <c r="B46" s="32"/>
      <c r="C46" s="69" t="s">
        <v>43</v>
      </c>
      <c r="D46" s="70"/>
      <c r="E46" s="46"/>
      <c r="F46" s="43"/>
      <c r="G46" s="47"/>
      <c r="H46" s="48"/>
      <c r="I46" s="46"/>
      <c r="J46" s="43"/>
      <c r="K46" s="47"/>
      <c r="L46" s="48"/>
      <c r="M46" s="46"/>
      <c r="N46" s="36"/>
      <c r="O46" s="31"/>
      <c r="P46" s="26"/>
    </row>
    <row r="47" spans="2:16" ht="15.75" customHeight="1" x14ac:dyDescent="0.2">
      <c r="B47" s="32"/>
      <c r="C47" s="49"/>
      <c r="D47" s="49"/>
      <c r="E47" s="49"/>
      <c r="F47" s="49"/>
      <c r="G47" s="49"/>
      <c r="H47" s="49"/>
      <c r="I47" s="49"/>
      <c r="J47" s="49"/>
      <c r="K47" s="50" t="s">
        <v>15</v>
      </c>
      <c r="L47" s="50"/>
      <c r="M47" s="55">
        <f>IFERROR(INDEX(Employees[净薪金],Stub),"")</f>
        <v>6788.4</v>
      </c>
      <c r="N47" s="36"/>
      <c r="O47" s="31"/>
      <c r="P47" s="26"/>
    </row>
    <row r="48" spans="2:16" ht="10.5" customHeight="1" thickBot="1" x14ac:dyDescent="0.25">
      <c r="B48" s="51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52"/>
      <c r="O48" s="31"/>
      <c r="P48" s="26"/>
    </row>
    <row r="49" ht="15" customHeight="1" x14ac:dyDescent="0.2"/>
  </sheetData>
  <mergeCells count="20">
    <mergeCell ref="C46:D46"/>
    <mergeCell ref="C33:D33"/>
    <mergeCell ref="C34:D34"/>
    <mergeCell ref="C21:D21"/>
    <mergeCell ref="C22:D22"/>
    <mergeCell ref="D3:E3"/>
    <mergeCell ref="D15:E15"/>
    <mergeCell ref="D27:E27"/>
    <mergeCell ref="D39:E39"/>
    <mergeCell ref="C45:D45"/>
    <mergeCell ref="C9:D9"/>
    <mergeCell ref="C10:D10"/>
    <mergeCell ref="H3:I3"/>
    <mergeCell ref="H15:I15"/>
    <mergeCell ref="H27:I27"/>
    <mergeCell ref="H39:I39"/>
    <mergeCell ref="L39:M39"/>
    <mergeCell ref="L27:M27"/>
    <mergeCell ref="L15:M15"/>
    <mergeCell ref="L3:M3"/>
  </mergeCells>
  <phoneticPr fontId="7" type="noConversion"/>
  <printOptions horizontalCentered="1"/>
  <pageMargins left="0.25" right="0.25" top="0.5" bottom="0.5" header="0.3" footer="0.3"/>
  <pageSetup scale="86" fitToWidth="0" fitToHeight="0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E16B4335-69EE-4932-AE69-C68F7AAA65E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5</vt:i4>
      </vt:variant>
    </vt:vector>
  </HeadingPairs>
  <TitlesOfParts>
    <vt:vector size="7" baseType="lpstr">
      <vt:lpstr>工资输入</vt:lpstr>
      <vt:lpstr>stubs_template</vt:lpstr>
      <vt:lpstr>CompanyName</vt:lpstr>
      <vt:lpstr>PeriodEnding</vt:lpstr>
      <vt:lpstr>工资输入!Print_Titles</vt:lpstr>
      <vt:lpstr>StubStruc</vt:lpstr>
      <vt:lpstr>ThePage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/>
  <dcterms:created xsi:type="dcterms:W3CDTF">2017-09-28T13:58:56Z</dcterms:created>
  <dcterms:modified xsi:type="dcterms:W3CDTF">2017-09-28T13:58:58Z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TC029300449991</vt:lpwstr>
  </property>
</Properties>
</file>