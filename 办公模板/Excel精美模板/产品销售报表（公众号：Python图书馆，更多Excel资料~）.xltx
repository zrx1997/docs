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0" yWindow="0" windowWidth="16935" windowHeight="10095"/>
  </bookViews>
  <sheets>
    <sheet name="产品销售报表" sheetId="9" r:id="rId1"/>
    <sheet name="历史数据" sheetId="4" r:id="rId2"/>
    <sheet name="价目单" sheetId="3" r:id="rId3"/>
    <sheet name="价格点透视" sheetId="5" state="hidden" r:id="rId4"/>
    <sheet name="销售趋势透视" sheetId="8" state="hidden" r:id="rId5"/>
  </sheets>
  <definedNames>
    <definedName name="_xlnm.Print_Titles" localSheetId="2">价目单!$10:$10</definedName>
    <definedName name="_xlnm.Print_Titles" localSheetId="1">历史数据!$3:$3</definedName>
    <definedName name="产品价格列表">OFFSET(价格点透视!$C$5,,,IF(COUNT(价格点透视!$C:$C)=0,1,COUNT(价格点透视!$C:$C)))</definedName>
    <definedName name="价格点单位">OFFSET(价格点透视!$D$5,,,IF(COUNT(价格点透视!$C:$C)=0,1,COUNT(价格点透视!$C:$C)))</definedName>
    <definedName name="切片器_产品名称">#N/A</definedName>
    <definedName name="选定的产品">价格点透视!$C$3</definedName>
  </definedNames>
  <calcPr calcId="171027"/>
  <pivotCaches>
    <pivotCache cacheId="31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3" i="5" l="1"/>
  <c r="C4" i="4" l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J4" i="4" l="1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</calcChain>
</file>

<file path=xl/sharedStrings.xml><?xml version="1.0" encoding="utf-8"?>
<sst xmlns="http://schemas.openxmlformats.org/spreadsheetml/2006/main" count="55" uniqueCount="44">
  <si>
    <t>23456 Maple Street</t>
  </si>
  <si>
    <t>www.adventure-works.com</t>
  </si>
  <si>
    <t>1月</t>
  </si>
  <si>
    <t>2月</t>
  </si>
  <si>
    <t>3月</t>
  </si>
  <si>
    <t>4月</t>
  </si>
  <si>
    <t>5月</t>
  </si>
  <si>
    <t>产品价格列表</t>
  </si>
  <si>
    <t>嘉元实业</t>
  </si>
  <si>
    <t>Springfield，CA 77503</t>
  </si>
  <si>
    <t>电话：(425) 555-0150</t>
  </si>
  <si>
    <t>传真： (425) 555-0152</t>
  </si>
  <si>
    <t>产品 ID</t>
  </si>
  <si>
    <t>名称</t>
  </si>
  <si>
    <t>描述</t>
  </si>
  <si>
    <t>单位零售价</t>
  </si>
  <si>
    <t>单位批发价*</t>
  </si>
  <si>
    <t>最近更新 2013 年 8 月 15 日</t>
    <phoneticPr fontId="8" type="noConversion"/>
  </si>
  <si>
    <t>衬衫</t>
  </si>
  <si>
    <t>我们的 100% 预缩棉衬衫让您清凉一夏。</t>
  </si>
  <si>
    <t>凉鞋</t>
  </si>
  <si>
    <t>穿上我们的厚胶底凉鞋，炙热的沙滩也任凭您随心行走。</t>
  </si>
  <si>
    <t>雨伞</t>
  </si>
  <si>
    <t>我们的超大海滩遮阳伞阻隔 96% 有害紫外线，让您健康畅享海滨乐趣。</t>
  </si>
  <si>
    <t>水瓶</t>
  </si>
  <si>
    <t>隔热水瓶给您清凉畅饮。</t>
  </si>
  <si>
    <t>短裤</t>
  </si>
  <si>
    <t>我们的超快速干爽尼龙短裤让您无惧雨水直抵爱车。</t>
  </si>
  <si>
    <t>请联系我们了解未列出的项目。</t>
  </si>
  <si>
    <t>*批发价格适用于 12 件及以上的件数。</t>
  </si>
  <si>
    <t>产品名称</t>
  </si>
  <si>
    <t>价格日期</t>
  </si>
  <si>
    <t>售出件数（零售）</t>
  </si>
  <si>
    <t>售出件数（批发）</t>
  </si>
  <si>
    <t>总销售（数量）</t>
  </si>
  <si>
    <t>总销售（金额）</t>
  </si>
  <si>
    <t>历史产品价格列表和销售</t>
  </si>
  <si>
    <t>求和项:总销售（数量）</t>
  </si>
  <si>
    <t>销售趋势数据透视表</t>
  </si>
  <si>
    <t xml:space="preserve">此工作表应保持隐藏。对下方数据透视表做出的修改可能导致产品销售报表中数据错误。 </t>
  </si>
  <si>
    <t>价格点数据透视表</t>
  </si>
  <si>
    <t>选定产品：</t>
  </si>
  <si>
    <t>产品销售报表</t>
  </si>
  <si>
    <t xml:space="preserve"> 产品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</si>
</sst>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 &quot;¥&quot;* #,##0.00_ ;_ &quot;¥&quot;* \!\-#,##0.00_ ;_ &quot;¥&quot;* &quot;-&quot;??_ ;_ @_ "/>
    <numFmt numFmtId="177" formatCode="&quot;$&quot;#,##0"/>
    <numFmt numFmtId="178" formatCode="&quot;¥&quot;#,##0_);[Red]\!\(&quot;¥&quot;#,##0\!\)"/>
    <numFmt numFmtId="179" formatCode="&quot;¥&quot;#,##0.00_);[Red]\!\(&quot;¥&quot;#,##0.00\!\)"/>
  </numFmts>
  <fonts count="18" x14ac:knownFonts="1">
    <font>
      <sz val="10"/>
      <color theme="1" tint="0.34998626667073579"/>
      <name val="Century Gothic"/>
      <family val="2"/>
      <scheme val="minor"/>
    </font>
    <font>
      <b/>
      <sz val="8"/>
      <color theme="1" tint="0.34998626667073579"/>
      <name val="Century Gothic"/>
      <family val="2"/>
      <scheme val="minor"/>
    </font>
    <font>
      <b/>
      <sz val="21"/>
      <color theme="1" tint="0.34998626667073579"/>
      <name val="Century Gothic"/>
      <family val="2"/>
      <scheme val="minor"/>
    </font>
    <font>
      <b/>
      <sz val="14"/>
      <color theme="6" tint="-0.24994659260841701"/>
      <name val="Century Gothic"/>
      <family val="2"/>
      <scheme val="minor"/>
    </font>
    <font>
      <sz val="9"/>
      <color theme="6"/>
      <name val="Century Gothic"/>
      <family val="2"/>
      <scheme val="minor"/>
    </font>
    <font>
      <b/>
      <sz val="11"/>
      <color theme="1" tint="0.34998626667073579"/>
      <name val="Century Gothic"/>
      <family val="2"/>
      <scheme val="minor"/>
    </font>
    <font>
      <sz val="24"/>
      <color theme="6" tint="-0.24994659260841701"/>
      <name val="Century Gothic"/>
      <family val="2"/>
      <scheme val="minor"/>
    </font>
    <font>
      <sz val="10"/>
      <color theme="1" tint="0.34998626667073579"/>
      <name val="Century Gothic"/>
      <family val="2"/>
      <scheme val="minor"/>
    </font>
    <font>
      <sz val="9"/>
      <name val="宋体"/>
      <family val="3"/>
      <charset val="134"/>
      <scheme val="minor"/>
    </font>
    <font>
      <sz val="24"/>
      <color theme="6" tint="-0.24994659260841701"/>
      <name val="Microsoft YaHei UI"/>
      <family val="2"/>
      <charset val="134"/>
    </font>
    <font>
      <sz val="10"/>
      <color theme="1" tint="0.34998626667073579"/>
      <name val="Microsoft YaHei UI"/>
      <family val="2"/>
      <charset val="134"/>
    </font>
    <font>
      <b/>
      <sz val="14"/>
      <color theme="6" tint="-0.24994659260841701"/>
      <name val="Microsoft YaHei UI"/>
      <family val="2"/>
      <charset val="134"/>
    </font>
    <font>
      <sz val="10"/>
      <color theme="1" tint="0.499984740745262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sz val="9"/>
      <color theme="6"/>
      <name val="Microsoft YaHei UI"/>
      <family val="2"/>
      <charset val="134"/>
    </font>
    <font>
      <sz val="9"/>
      <color theme="1" tint="0.34998626667073579"/>
      <name val="Microsoft YaHei UI"/>
      <family val="2"/>
      <charset val="134"/>
    </font>
    <font>
      <b/>
      <sz val="14"/>
      <color theme="1"/>
      <name val="Microsoft YaHei U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0" tint="-0.14996795556505021"/>
      </top>
      <bottom/>
      <diagonal/>
    </border>
  </borders>
  <cellStyleXfs count="9">
    <xf numFmtId="0" fontId="0" fillId="0" borderId="0"/>
    <xf numFmtId="0" fontId="6" fillId="0" borderId="0" applyNumberFormat="0" applyAlignment="0" applyProtection="0"/>
    <xf numFmtId="0" fontId="3" fillId="2" borderId="0" applyNumberFormat="0" applyBorder="0" applyAlignment="0" applyProtection="0"/>
    <xf numFmtId="0" fontId="2" fillId="0" borderId="0" applyNumberFormat="0" applyFill="0" applyProtection="0">
      <alignment horizontal="left"/>
    </xf>
    <xf numFmtId="0" fontId="5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76" fontId="7" fillId="0" borderId="0" applyFont="0" applyFill="0" applyBorder="0" applyAlignment="0" applyProtection="0">
      <alignment vertical="center"/>
    </xf>
  </cellStyleXfs>
  <cellXfs count="43">
    <xf numFmtId="0" fontId="0" fillId="0" borderId="0" xfId="0"/>
    <xf numFmtId="0" fontId="9" fillId="3" borderId="0" xfId="1" applyFont="1" applyFill="1" applyAlignment="1"/>
    <xf numFmtId="0" fontId="10" fillId="3" borderId="0" xfId="0" applyFont="1" applyFill="1" applyAlignment="1"/>
    <xf numFmtId="0" fontId="10" fillId="3" borderId="0" xfId="0" applyFont="1" applyFill="1"/>
    <xf numFmtId="0" fontId="10" fillId="2" borderId="1" xfId="0" applyFont="1" applyFill="1" applyBorder="1"/>
    <xf numFmtId="0" fontId="11" fillId="2" borderId="0" xfId="2" applyFont="1" applyFill="1"/>
    <xf numFmtId="0" fontId="10" fillId="2" borderId="0" xfId="0" applyFont="1" applyFill="1"/>
    <xf numFmtId="0" fontId="12" fillId="2" borderId="0" xfId="0" applyFont="1" applyFill="1" applyAlignment="1">
      <alignment horizontal="left"/>
    </xf>
    <xf numFmtId="0" fontId="9" fillId="0" borderId="0" xfId="1" applyFont="1" applyAlignment="1"/>
    <xf numFmtId="0" fontId="10" fillId="0" borderId="0" xfId="0" applyFont="1" applyAlignment="1"/>
    <xf numFmtId="0" fontId="13" fillId="4" borderId="0" xfId="0" applyFont="1" applyFill="1" applyBorder="1" applyAlignment="1">
      <alignment vertical="center"/>
    </xf>
    <xf numFmtId="0" fontId="13" fillId="4" borderId="0" xfId="0" applyFont="1" applyFill="1" applyBorder="1" applyAlignment="1">
      <alignment horizontal="center" vertical="center"/>
    </xf>
    <xf numFmtId="3" fontId="13" fillId="4" borderId="0" xfId="0" applyNumberFormat="1" applyFont="1" applyFill="1" applyBorder="1" applyAlignment="1">
      <alignment horizontal="center" vertical="center"/>
    </xf>
    <xf numFmtId="177" fontId="13" fillId="4" borderId="0" xfId="0" applyNumberFormat="1" applyFont="1" applyFill="1" applyBorder="1" applyAlignment="1">
      <alignment horizontal="center" vertical="center"/>
    </xf>
    <xf numFmtId="177" fontId="13" fillId="4" borderId="0" xfId="0" applyNumberFormat="1" applyFont="1" applyFill="1" applyBorder="1" applyAlignment="1">
      <alignment horizontal="right" vertical="center"/>
    </xf>
    <xf numFmtId="0" fontId="10" fillId="0" borderId="0" xfId="0" applyFont="1"/>
    <xf numFmtId="0" fontId="10" fillId="0" borderId="0" xfId="0" applyFont="1" applyBorder="1" applyAlignment="1">
      <alignment horizontal="center"/>
    </xf>
    <xf numFmtId="0" fontId="10" fillId="0" borderId="0" xfId="0" applyFont="1" applyBorder="1"/>
    <xf numFmtId="14" fontId="10" fillId="0" borderId="0" xfId="0" applyNumberFormat="1" applyFont="1"/>
    <xf numFmtId="3" fontId="10" fillId="0" borderId="0" xfId="0" applyNumberFormat="1" applyFont="1" applyBorder="1" applyAlignment="1">
      <alignment horizontal="center"/>
    </xf>
    <xf numFmtId="178" fontId="10" fillId="0" borderId="0" xfId="0" applyNumberFormat="1" applyFont="1" applyBorder="1" applyAlignment="1">
      <alignment horizontal="center"/>
    </xf>
    <xf numFmtId="178" fontId="10" fillId="0" borderId="0" xfId="0" applyNumberFormat="1" applyFont="1" applyBorder="1" applyAlignment="1">
      <alignment horizontal="right"/>
    </xf>
    <xf numFmtId="0" fontId="14" fillId="0" borderId="0" xfId="4" applyFont="1"/>
    <xf numFmtId="0" fontId="15" fillId="0" borderId="0" xfId="6" applyFont="1"/>
    <xf numFmtId="0" fontId="10" fillId="0" borderId="0" xfId="0" applyFont="1" applyAlignment="1">
      <alignment horizontal="right"/>
    </xf>
    <xf numFmtId="0" fontId="10" fillId="0" borderId="0" xfId="0" applyFont="1" applyFill="1" applyBorder="1" applyAlignment="1">
      <alignment vertical="center"/>
    </xf>
    <xf numFmtId="0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178" fontId="10" fillId="0" borderId="0" xfId="8" applyNumberFormat="1" applyFont="1" applyFill="1" applyBorder="1" applyAlignment="1">
      <alignment horizontal="center" vertical="center"/>
    </xf>
    <xf numFmtId="179" fontId="10" fillId="0" borderId="0" xfId="0" applyNumberFormat="1" applyFont="1" applyFill="1" applyBorder="1" applyAlignment="1">
      <alignment horizontal="center" vertical="center"/>
    </xf>
    <xf numFmtId="178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right" vertical="top"/>
    </xf>
    <xf numFmtId="0" fontId="10" fillId="0" borderId="0" xfId="0" applyFont="1" applyAlignment="1">
      <alignment vertical="top" wrapText="1"/>
    </xf>
    <xf numFmtId="0" fontId="10" fillId="0" borderId="0" xfId="0" pivotButton="1" applyFont="1"/>
    <xf numFmtId="0" fontId="10" fillId="0" borderId="0" xfId="0" applyNumberFormat="1" applyFont="1"/>
    <xf numFmtId="0" fontId="17" fillId="0" borderId="0" xfId="0" applyFont="1" applyAlignment="1"/>
    <xf numFmtId="0" fontId="10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78" fontId="10" fillId="0" borderId="0" xfId="0" applyNumberFormat="1" applyFont="1"/>
    <xf numFmtId="0" fontId="10" fillId="0" borderId="0" xfId="0" applyFont="1" applyFill="1" applyBorder="1" applyAlignment="1">
      <alignment horizontal="center"/>
    </xf>
    <xf numFmtId="0" fontId="16" fillId="0" borderId="0" xfId="0" applyFont="1" applyAlignment="1">
      <alignment vertical="center" wrapText="1"/>
    </xf>
  </cellXfs>
  <cellStyles count="9">
    <cellStyle name="标题 1" xfId="1" builtinId="16" customBuiltin="1"/>
    <cellStyle name="标题 2" xfId="2" builtinId="17" customBuiltin="1"/>
    <cellStyle name="标题 3" xfId="3" builtinId="18" customBuiltin="1"/>
    <cellStyle name="标题 4" xfId="4" builtinId="19" customBuiltin="1"/>
    <cellStyle name="常规" xfId="0" builtinId="0" customBuiltin="1"/>
    <cellStyle name="超链接" xfId="6" builtinId="8" customBuiltin="1"/>
    <cellStyle name="好" xfId="5" builtinId="26" customBuiltin="1"/>
    <cellStyle name="货币" xfId="8" builtinId="4"/>
    <cellStyle name="已访问的超链接" xfId="7" builtinId="9" customBuiltin="1"/>
  </cellStyles>
  <dxfs count="36"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numFmt numFmtId="178" formatCode="&quot;¥&quot;#,##0_);[Red]\!\(&quot;¥&quot;#,##0\!\)"/>
    </dxf>
    <dxf>
      <numFmt numFmtId="178" formatCode="&quot;¥&quot;#,##0_);[Red]\!\(&quot;¥&quot;#,##0\!\)"/>
    </dxf>
    <dxf>
      <numFmt numFmtId="178" formatCode="&quot;¥&quot;#,##0_);[Red]\!\(&quot;¥&quot;#,##0\!\)"/>
    </dxf>
    <dxf>
      <numFmt numFmtId="178" formatCode="&quot;¥&quot;#,##0_);[Red]\!\(&quot;¥&quot;#,##0\!\)"/>
    </dxf>
    <dxf>
      <numFmt numFmtId="178" formatCode="&quot;¥&quot;#,##0_);[Red]\!\(&quot;¥&quot;#,##0\!\)"/>
    </dxf>
    <dxf>
      <numFmt numFmtId="178" formatCode="&quot;¥&quot;#,##0_);[Red]\!\(&quot;¥&quot;#,##0\!\)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9" formatCode="&quot;¥&quot;#,##0.00_);[Red]\!\(&quot;¥&quot;#,##0.00\!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&quot;¥&quot;#,##0_);[Red]\!\(&quot;¥&quot;#,##0\!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Microsoft YaHei U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&quot;¥&quot;#,##0_);[Red]\!\(&quot;¥&quot;#,##0\!\)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&quot;¥&quot;#,##0_);[Red]\!\(&quot;¥&quot;#,##0\!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80" formatCode="mm/d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81" formatCode="g/&quot;通&quot;&quot;用&quot;&quot;格&quot;&quot;式&quot;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/>
        <strike val="0"/>
        <outline val="0"/>
        <shadow val="0"/>
        <u val="none"/>
        <vertAlign val="baseline"/>
        <sz val="10"/>
        <color theme="0"/>
        <name val="Microsoft YaHei UI"/>
        <scheme val="none"/>
      </font>
      <numFmt numFmtId="3" formatCode="#,##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 style="thin">
          <color theme="0" tint="-0.14993743705557422"/>
        </bottom>
        <vertical/>
        <horizontal style="thin">
          <color theme="0" tint="-0.14996795556505021"/>
        </horizontal>
      </border>
    </dxf>
  </dxfs>
  <tableStyles count="2" defaultTableStyle="Product Price List" defaultPivotStyle="PivotStyleMedium4">
    <tableStyle name="Product Price List" pivot="0" count="1">
      <tableStyleElement type="headerRow" dxfId="35"/>
    </tableStyle>
    <tableStyle name="Product Price List Slicer" pivot="0" table="0" count="9">
      <tableStyleElement type="wholeTable" dxfId="34"/>
    </tableStyle>
  </tableStyles>
  <extLst>
    <ext xmlns:x14="http://schemas.microsoft.com/office/spreadsheetml/2009/9/main" uri="{46F421CA-312F-682f-3DD2-61675219B42D}">
      <x14:dxfs count="8">
        <dxf>
          <font>
            <b val="0"/>
            <i val="0"/>
            <sz val="11"/>
            <color theme="6" tint="-0.24994659260841701"/>
            <name val="Microsoft YaHei UI"/>
            <scheme val="none"/>
          </font>
          <fill>
            <patternFill patternType="none">
              <fgColor auto="1"/>
              <bgColor auto="1"/>
            </patternFill>
          </fill>
          <border>
            <left style="medium">
              <color theme="6"/>
            </left>
            <right style="medium">
              <color theme="6"/>
            </right>
            <top style="medium">
              <color theme="6"/>
            </top>
            <bottom style="medium">
              <color theme="6"/>
            </bottom>
            <vertical/>
            <horizontal/>
          </border>
        </dxf>
        <dxf>
          <font>
            <b val="0"/>
            <i val="0"/>
            <sz val="11"/>
            <color theme="6" tint="-0.24994659260841701"/>
            <name val="Microsoft YaHei UI"/>
            <scheme val="none"/>
          </font>
          <fill>
            <patternFill patternType="none">
              <fgColor auto="1"/>
              <bgColor auto="1"/>
            </patternFill>
          </fill>
          <border>
            <left style="medium">
              <color theme="6"/>
            </left>
            <right style="medium">
              <color theme="6"/>
            </right>
            <top style="medium">
              <color theme="6"/>
            </top>
            <bottom style="medium">
              <color theme="6"/>
            </bottom>
            <vertical/>
            <horizontal/>
          </border>
        </dxf>
        <dxf>
          <font>
            <b val="0"/>
            <i val="0"/>
            <sz val="11"/>
            <color theme="6" tint="-0.24994659260841701"/>
            <name val="Microsoft YaHei UI"/>
            <scheme val="none"/>
          </font>
          <fill>
            <patternFill patternType="none">
              <fgColor auto="1"/>
              <bgColor auto="1"/>
            </patternFill>
          </fill>
          <border>
            <left style="medium">
              <color theme="6"/>
            </left>
            <right style="medium">
              <color theme="6"/>
            </right>
            <top style="medium">
              <color theme="6"/>
            </top>
            <bottom style="medium">
              <color theme="6"/>
            </bottom>
            <vertical/>
            <horizontal/>
          </border>
        </dxf>
        <dxf>
          <font>
            <b val="0"/>
            <i val="0"/>
            <sz val="12"/>
            <color theme="6"/>
            <name val="Microsoft YaHei UI"/>
            <scheme val="none"/>
          </font>
          <fill>
            <patternFill patternType="none">
              <fgColor auto="1"/>
              <bgColor auto="1"/>
            </patternFill>
          </fill>
          <border>
            <left style="medium">
              <color theme="6"/>
            </left>
            <right style="medium">
              <color theme="6"/>
            </right>
            <top style="medium">
              <color theme="6"/>
            </top>
            <bottom style="medium">
              <color theme="6"/>
            </bottom>
            <vertical/>
            <horizontal/>
          </border>
        </dxf>
        <dxf>
          <font>
            <b val="0"/>
            <i val="0"/>
            <sz val="11"/>
            <color theme="6" tint="-0.24994659260841701"/>
            <name val="Microsoft YaHei UI"/>
            <scheme val="none"/>
          </font>
          <fill>
            <patternFill patternType="solid">
              <fgColor theme="4" tint="0.59999389629810485"/>
              <bgColor theme="0" tint="-0.24994659260841701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b val="0"/>
            <i val="0"/>
            <sz val="11"/>
            <color theme="0"/>
            <name val="Microsoft YaHei UI"/>
            <scheme val="none"/>
          </font>
          <fill>
            <patternFill patternType="solid">
              <fgColor theme="4"/>
              <bgColor theme="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color theme="6" tint="-0.24994659260841701"/>
            <name val="Microsoft YaHei UI"/>
            <scheme val="none"/>
          </font>
          <fill>
            <patternFill patternType="solid">
              <fgColor rgb="FFDFDFDF"/>
              <bgColor theme="0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color theme="6" tint="-0.24994659260841701"/>
            <name val="Microsoft YaHei UI"/>
            <scheme val="none"/>
          </font>
          <fill>
            <patternFill patternType="solid">
              <fgColor rgb="FFC0C0C0"/>
              <bgColor theme="6" tint="0.59996337778862885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Product Price List Slicer">
        <x14:slicerStyle name="Product Price List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[产品销售报表.xltx]销售趋势透视!销售趋势</c:name>
    <c:fmtId val="7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0465633202099738"/>
          <c:y val="0.17194991251093614"/>
          <c:w val="0.85714922353455814"/>
          <c:h val="0.6788283756197141"/>
        </c:manualLayout>
      </c:layout>
      <c:lineChart>
        <c:grouping val="standard"/>
        <c:varyColors val="0"/>
        <c:ser>
          <c:idx val="0"/>
          <c:order val="0"/>
          <c:tx>
            <c:strRef>
              <c:f>销售趋势透视!$C$3:$C$4</c:f>
              <c:strCache>
                <c:ptCount val="1"/>
                <c:pt idx="0">
                  <c:v>凉鞋</c:v>
                </c:pt>
              </c:strCache>
            </c:strRef>
          </c:tx>
          <c:marker>
            <c:symbol val="none"/>
          </c:marker>
          <c:cat>
            <c:strRef>
              <c:f>销售趋势透视!$B$5:$B$9</c:f>
              <c:strCache>
                <c:ptCount val="5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</c:strCache>
            </c:strRef>
          </c:cat>
          <c:val>
            <c:numRef>
              <c:f>销售趋势透视!$C$5:$C$9</c:f>
              <c:numCache>
                <c:formatCode>General</c:formatCode>
                <c:ptCount val="5"/>
                <c:pt idx="0">
                  <c:v>1787</c:v>
                </c:pt>
                <c:pt idx="1">
                  <c:v>4222</c:v>
                </c:pt>
                <c:pt idx="2">
                  <c:v>1777</c:v>
                </c:pt>
                <c:pt idx="3">
                  <c:v>2715</c:v>
                </c:pt>
                <c:pt idx="4">
                  <c:v>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BF-47A5-AFEC-3F8A310B7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08176"/>
        <c:axId val="48208736"/>
      </c:lineChart>
      <c:catAx>
        <c:axId val="48208176"/>
        <c:scaling>
          <c:orientation val="minMax"/>
        </c:scaling>
        <c:delete val="0"/>
        <c:axPos val="b"/>
        <c:numFmt formatCode="m&quot;月&quot;;@" sourceLinked="0"/>
        <c:majorTickMark val="none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1200" b="1">
                <a:solidFill>
                  <a:schemeClr val="tx1">
                    <a:lumMod val="50000"/>
                    <a:lumOff val="50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endParaRPr lang="zh-CN"/>
          </a:p>
        </c:txPr>
        <c:crossAx val="48208736"/>
        <c:crosses val="autoZero"/>
        <c:auto val="1"/>
        <c:lblAlgn val="ctr"/>
        <c:lblOffset val="0"/>
        <c:tickLblSkip val="1"/>
        <c:noMultiLvlLbl val="0"/>
      </c:catAx>
      <c:valAx>
        <c:axId val="482087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endParaRPr lang="zh-CN"/>
          </a:p>
        </c:txPr>
        <c:crossAx val="482081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12362174510439"/>
          <c:y val="0.12037037037037036"/>
          <c:w val="0.84132084461633816"/>
          <c:h val="0.7268518518518518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300" b="1">
                    <a:solidFill>
                      <a:schemeClr val="bg1"/>
                    </a:solidFill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[0]!产品价格列表</c:f>
              <c:numCache>
                <c:formatCode>"¥"#,##0_);[Red]\!\("¥"#,##0\!\)</c:formatCode>
                <c:ptCount val="6"/>
                <c:pt idx="0">
                  <c:v>380</c:v>
                </c:pt>
                <c:pt idx="1">
                  <c:v>500</c:v>
                </c:pt>
                <c:pt idx="2">
                  <c:v>640</c:v>
                </c:pt>
                <c:pt idx="3">
                  <c:v>700</c:v>
                </c:pt>
                <c:pt idx="4">
                  <c:v>830</c:v>
                </c:pt>
                <c:pt idx="5">
                  <c:v>910</c:v>
                </c:pt>
              </c:numCache>
            </c:numRef>
          </c:cat>
          <c:val>
            <c:numRef>
              <c:f>[0]!价格点单位</c:f>
              <c:numCache>
                <c:formatCode>General</c:formatCode>
                <c:ptCount val="6"/>
                <c:pt idx="0">
                  <c:v>2464</c:v>
                </c:pt>
                <c:pt idx="1">
                  <c:v>1777</c:v>
                </c:pt>
                <c:pt idx="2">
                  <c:v>2539</c:v>
                </c:pt>
                <c:pt idx="3">
                  <c:v>1787</c:v>
                </c:pt>
                <c:pt idx="4">
                  <c:v>1758</c:v>
                </c:pt>
                <c:pt idx="5">
                  <c:v>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0-4417-B117-966F9E32A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48210976"/>
        <c:axId val="48211536"/>
      </c:barChart>
      <c:catAx>
        <c:axId val="48210976"/>
        <c:scaling>
          <c:orientation val="maxMin"/>
        </c:scaling>
        <c:delete val="0"/>
        <c:axPos val="l"/>
        <c:numFmt formatCode="&quot;¥&quot;#,##0_);[Red]\!\(&quot;¥&quot;#,##0\!\)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>
                <a:solidFill>
                  <a:schemeClr val="tx1">
                    <a:lumMod val="50000"/>
                    <a:lumOff val="50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endParaRPr lang="zh-CN"/>
          </a:p>
        </c:txPr>
        <c:crossAx val="48211536"/>
        <c:crosses val="autoZero"/>
        <c:auto val="1"/>
        <c:lblAlgn val="ctr"/>
        <c:lblOffset val="0"/>
        <c:noMultiLvlLbl val="0"/>
      </c:catAx>
      <c:valAx>
        <c:axId val="4821153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82109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21382;&#21490;&#25968;&#25454;!A1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&#20135;&#21697;&#38144;&#21806;&#25253;&#34920;!A1"/><Relationship Id="rId1" Type="http://schemas.openxmlformats.org/officeDocument/2006/relationships/hyperlink" Target="#&#20215;&#30446;&#21333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20135;&#21697;&#38144;&#21806;&#25253;&#34920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504824</xdr:colOff>
      <xdr:row>1</xdr:row>
      <xdr:rowOff>166687</xdr:rowOff>
    </xdr:from>
    <xdr:to>
      <xdr:col>15</xdr:col>
      <xdr:colOff>514350</xdr:colOff>
      <xdr:row>17</xdr:row>
      <xdr:rowOff>38100</xdr:rowOff>
    </xdr:to>
    <xdr:graphicFrame macro="">
      <xdr:nvGraphicFramePr>
        <xdr:cNvPr id="4" name="销售趋势图" descr="折线图显示选定产品的月度销售趋势。" title="销售趋势图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200026</xdr:colOff>
      <xdr:row>2</xdr:row>
      <xdr:rowOff>0</xdr:rowOff>
    </xdr:from>
    <xdr:to>
      <xdr:col>8</xdr:col>
      <xdr:colOff>457200</xdr:colOff>
      <xdr:row>17</xdr:row>
      <xdr:rowOff>0</xdr:rowOff>
    </xdr:to>
    <xdr:graphicFrame macro="">
      <xdr:nvGraphicFramePr>
        <xdr:cNvPr id="7" name="Price Point Chart" descr="条形图比较按选定产品各价格点销售的件数。" title="价格点图表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314325</xdr:colOff>
      <xdr:row>0</xdr:row>
      <xdr:rowOff>161925</xdr:rowOff>
    </xdr:from>
    <xdr:to>
      <xdr:col>15</xdr:col>
      <xdr:colOff>352425</xdr:colOff>
      <xdr:row>1</xdr:row>
      <xdr:rowOff>19051</xdr:rowOff>
    </xdr:to>
    <xdr:grpSp>
      <xdr:nvGrpSpPr>
        <xdr:cNvPr id="12" name="历史数据" descr="&quot;&quot;&quot;" title="历史数据（导航按钮）">
          <a:hlinkClick xmlns:r="http://schemas.openxmlformats.org/officeDocument/2006/relationships" r:id="rId3" tooltip="单击查看历史数据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48450" y="161925"/>
          <a:ext cx="2476500" cy="457201"/>
          <a:chOff x="2933700" y="6505574"/>
          <a:chExt cx="2476500" cy="342901"/>
        </a:xfrm>
      </xdr:grpSpPr>
      <xdr:sp macro="" textlink="">
        <xdr:nvSpPr>
          <xdr:cNvPr id="13" name="任意多边形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/>
          </xdr:cNvSpPr>
        </xdr:nvSpPr>
        <xdr:spPr bwMode="auto">
          <a:xfrm>
            <a:off x="5286375" y="6619875"/>
            <a:ext cx="66675" cy="133350"/>
          </a:xfrm>
          <a:custGeom>
            <a:avLst/>
            <a:gdLst>
              <a:gd name="T0" fmla="*/ 0 w 1633"/>
              <a:gd name="T1" fmla="*/ 0 h 3029"/>
              <a:gd name="T2" fmla="*/ 759 w 1633"/>
              <a:gd name="T3" fmla="*/ 0 h 3029"/>
              <a:gd name="T4" fmla="*/ 1633 w 1633"/>
              <a:gd name="T5" fmla="*/ 1514 h 3029"/>
              <a:gd name="T6" fmla="*/ 759 w 1633"/>
              <a:gd name="T7" fmla="*/ 3029 h 3029"/>
              <a:gd name="T8" fmla="*/ 5 w 1633"/>
              <a:gd name="T9" fmla="*/ 3029 h 3029"/>
              <a:gd name="T10" fmla="*/ 884 w 1633"/>
              <a:gd name="T11" fmla="*/ 1514 h 3029"/>
              <a:gd name="T12" fmla="*/ 0 w 1633"/>
              <a:gd name="T13" fmla="*/ 0 h 30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33" h="3029">
                <a:moveTo>
                  <a:pt x="0" y="0"/>
                </a:moveTo>
                <a:lnTo>
                  <a:pt x="759" y="0"/>
                </a:lnTo>
                <a:lnTo>
                  <a:pt x="1633" y="1514"/>
                </a:lnTo>
                <a:lnTo>
                  <a:pt x="759" y="3029"/>
                </a:lnTo>
                <a:lnTo>
                  <a:pt x="5" y="3029"/>
                </a:lnTo>
                <a:lnTo>
                  <a:pt x="884" y="151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任意多边形 7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/>
          </xdr:cNvSpPr>
        </xdr:nvSpPr>
        <xdr:spPr bwMode="auto">
          <a:xfrm>
            <a:off x="5343525" y="6619875"/>
            <a:ext cx="66675" cy="133350"/>
          </a:xfrm>
          <a:custGeom>
            <a:avLst/>
            <a:gdLst>
              <a:gd name="T0" fmla="*/ 0 w 1633"/>
              <a:gd name="T1" fmla="*/ 0 h 3029"/>
              <a:gd name="T2" fmla="*/ 759 w 1633"/>
              <a:gd name="T3" fmla="*/ 0 h 3029"/>
              <a:gd name="T4" fmla="*/ 1633 w 1633"/>
              <a:gd name="T5" fmla="*/ 1514 h 3029"/>
              <a:gd name="T6" fmla="*/ 759 w 1633"/>
              <a:gd name="T7" fmla="*/ 3029 h 3029"/>
              <a:gd name="T8" fmla="*/ 5 w 1633"/>
              <a:gd name="T9" fmla="*/ 3029 h 3029"/>
              <a:gd name="T10" fmla="*/ 884 w 1633"/>
              <a:gd name="T11" fmla="*/ 1514 h 3029"/>
              <a:gd name="T12" fmla="*/ 0 w 1633"/>
              <a:gd name="T13" fmla="*/ 0 h 30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33" h="3029">
                <a:moveTo>
                  <a:pt x="0" y="0"/>
                </a:moveTo>
                <a:lnTo>
                  <a:pt x="759" y="0"/>
                </a:lnTo>
                <a:lnTo>
                  <a:pt x="1633" y="1514"/>
                </a:lnTo>
                <a:lnTo>
                  <a:pt x="759" y="3029"/>
                </a:lnTo>
                <a:lnTo>
                  <a:pt x="5" y="3029"/>
                </a:lnTo>
                <a:lnTo>
                  <a:pt x="884" y="151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文本框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2933700" y="6505574"/>
            <a:ext cx="2381251" cy="342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/>
          <a:lstStyle/>
          <a:p>
            <a:pPr algn="r"/>
            <a:r>
              <a:rPr lang="zh-CN" altLang="en-US" sz="1200">
                <a:ln>
                  <a:noFill/>
                </a:ln>
                <a:solidFill>
                  <a:schemeClr val="accent3">
                    <a:lumMod val="75000"/>
                  </a:schemeClr>
                </a:solidFill>
                <a:latin typeface="+mn-lt"/>
              </a:rPr>
              <a:t>历史数据</a:t>
            </a:r>
            <a:endParaRPr lang="en-US" sz="1200" b="1" spc="-100" baseline="0">
              <a:ln>
                <a:noFill/>
              </a:ln>
              <a:solidFill>
                <a:schemeClr val="accent3">
                  <a:lumMod val="75000"/>
                </a:schemeClr>
              </a:solidFill>
              <a:latin typeface="DokChampa" pitchFamily="34" charset="-34"/>
              <a:cs typeface="DokChampa" pitchFamily="34" charset="-34"/>
            </a:endParaRPr>
          </a:p>
        </xdr:txBody>
      </xdr:sp>
    </xdr:grpSp>
    <xdr:clientData fPrintsWithSheet="0"/>
  </xdr:twoCellAnchor>
  <xdr:twoCellAnchor>
    <xdr:from>
      <xdr:col>7</xdr:col>
      <xdr:colOff>581025</xdr:colOff>
      <xdr:row>17</xdr:row>
      <xdr:rowOff>104775</xdr:rowOff>
    </xdr:from>
    <xdr:to>
      <xdr:col>8</xdr:col>
      <xdr:colOff>485774</xdr:colOff>
      <xdr:row>19</xdr:row>
      <xdr:rowOff>38100</xdr:rowOff>
    </xdr:to>
    <xdr:grpSp>
      <xdr:nvGrpSpPr>
        <xdr:cNvPr id="20" name="装饰性分隔器形式" descr="&quot;&quot;" title="装饰性分隔器形式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476750" y="4057650"/>
          <a:ext cx="514349" cy="361950"/>
          <a:chOff x="4181475" y="3819525"/>
          <a:chExt cx="514349" cy="381000"/>
        </a:xfrm>
        <a:solidFill>
          <a:schemeClr val="bg1">
            <a:lumMod val="95000"/>
          </a:schemeClr>
        </a:solidFill>
      </xdr:grpSpPr>
      <xdr:sp macro="" textlink="">
        <xdr:nvSpPr>
          <xdr:cNvPr id="18" name="菱形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4219575" y="3819525"/>
            <a:ext cx="409575" cy="352425"/>
          </a:xfrm>
          <a:prstGeom prst="diamond">
            <a:avLst/>
          </a:prstGeom>
          <a:grpFill/>
          <a:ln w="2222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4181475" y="3943350"/>
            <a:ext cx="514349" cy="257175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133349</xdr:colOff>
      <xdr:row>19</xdr:row>
      <xdr:rowOff>85725</xdr:rowOff>
    </xdr:from>
    <xdr:to>
      <xdr:col>12</xdr:col>
      <xdr:colOff>9524</xdr:colOff>
      <xdr:row>20</xdr:row>
      <xdr:rowOff>57150</xdr:rowOff>
    </xdr:to>
    <xdr:sp macro="" textlink="">
      <xdr:nvSpPr>
        <xdr:cNvPr id="3" name="模板提示 1" descr="&quot;&quot;" title="单击一个产品名称查看相应的报表。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09874" y="4029075"/>
          <a:ext cx="414337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r"/>
          <a:r>
            <a:rPr lang="zh-CN" altLang="en-US" sz="1000">
              <a:solidFill>
                <a:schemeClr val="tx1">
                  <a:lumMod val="50000"/>
                  <a:lumOff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单击一个产品名称查看相应的报表。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16</xdr:col>
      <xdr:colOff>66675</xdr:colOff>
      <xdr:row>6</xdr:row>
      <xdr:rowOff>114301</xdr:rowOff>
    </xdr:from>
    <xdr:to>
      <xdr:col>19</xdr:col>
      <xdr:colOff>514350</xdr:colOff>
      <xdr:row>11</xdr:row>
      <xdr:rowOff>19050</xdr:rowOff>
    </xdr:to>
    <xdr:sp macro="" textlink="">
      <xdr:nvSpPr>
        <xdr:cNvPr id="16" name="模板提示 2" descr="要更新销售趋势图和产品切片器，右键单击图表左下角，然后单击 刷新数据。" title="提示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9448800" y="1571626"/>
          <a:ext cx="1905000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zh-CN" altLang="en-US" sz="1000">
              <a:solidFill>
                <a:schemeClr val="tx1">
                  <a:lumMod val="50000"/>
                  <a:lumOff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要更新销售趋势图和产品切片器，右键单击图表左下角，然后单击 </a:t>
          </a:r>
          <a:r>
            <a:rPr lang="zh-CN" altLang="en-US" sz="1000" b="1" baseline="0">
              <a:solidFill>
                <a:schemeClr val="tx1">
                  <a:lumMod val="50000"/>
                  <a:lumOff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刷新数据。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 editAs="oneCell">
    <xdr:from>
      <xdr:col>0</xdr:col>
      <xdr:colOff>180975</xdr:colOff>
      <xdr:row>20</xdr:row>
      <xdr:rowOff>19050</xdr:rowOff>
    </xdr:from>
    <xdr:to>
      <xdr:col>12</xdr:col>
      <xdr:colOff>180975</xdr:colOff>
      <xdr:row>31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产品名称" descr="单击切片器，例如短裤，根据选定的切片器筛选“价格点销售件数”图表。" title="产品切片器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产品名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" y="3943350"/>
              <a:ext cx="6943725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此形状表示切片器。Excel 2010 或更高版本中支持切片器。
如果在较早版本的 Excel 中修改了形状，或此工作簿是在 Excel 2003 或更早版本中保存的，则不能使用切片器。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0.12949</cdr:y>
    </cdr:to>
    <cdr:sp macro="" textlink="">
      <cdr:nvSpPr>
        <cdr:cNvPr id="2" name="TextBox 4" descr="Line chart showing sales trend for each month of sales. " title="Sales Trend"/>
        <cdr:cNvSpPr txBox="1"/>
      </cdr:nvSpPr>
      <cdr:spPr>
        <a:xfrm xmlns:a="http://schemas.openxmlformats.org/drawingml/2006/main">
          <a:off x="0" y="0"/>
          <a:ext cx="3743326" cy="355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zh-CN" altLang="en-US" sz="1400" b="1">
              <a:solidFill>
                <a:schemeClr val="accent3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销售趋势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0.81713</cdr:y>
    </cdr:from>
    <cdr:to>
      <cdr:x>1</cdr:x>
      <cdr:y>0.94882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0" y="2241550"/>
          <a:ext cx="4572000" cy="3612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CN" altLang="en-US" sz="1050" b="1">
              <a:solidFill>
                <a:schemeClr val="tx1">
                  <a:lumMod val="50000"/>
                  <a:lumOff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各个价位的售出件数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0.13169</cdr:y>
    </cdr:to>
    <cdr:sp macro="" textlink="选定的产品">
      <cdr:nvSpPr>
        <cdr:cNvPr id="3" name="TextBox 4" descr="&quot;&quot;" title="Name of Selected Product"/>
        <cdr:cNvSpPr txBox="1"/>
      </cdr:nvSpPr>
      <cdr:spPr>
        <a:xfrm xmlns:a="http://schemas.openxmlformats.org/drawingml/2006/main">
          <a:off x="0" y="0"/>
          <a:ext cx="4533900" cy="3612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0" tIns="0" rIns="0" bIns="0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C7F10E86-EC88-4903-9834-23B7358435F1}" type="TxLink">
            <a:rPr lang="zh-CN" altLang="en-US" sz="1400" b="1">
              <a:solidFill>
                <a:schemeClr val="accent3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pPr algn="l"/>
            <a:t>凉鞋</a:t>
          </a:fld>
          <a:endParaRPr lang="en-US" sz="1400" b="1">
            <a:solidFill>
              <a:schemeClr val="accent3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828675</xdr:colOff>
      <xdr:row>0</xdr:row>
      <xdr:rowOff>152400</xdr:rowOff>
    </xdr:from>
    <xdr:to>
      <xdr:col>9</xdr:col>
      <xdr:colOff>838200</xdr:colOff>
      <xdr:row>1</xdr:row>
      <xdr:rowOff>9526</xdr:rowOff>
    </xdr:to>
    <xdr:grpSp>
      <xdr:nvGrpSpPr>
        <xdr:cNvPr id="37" name="价目单" descr="&quot;&quot;" title="价目单（导航按钮）">
          <a:hlinkClick xmlns:r="http://schemas.openxmlformats.org/officeDocument/2006/relationships" r:id="rId1" tooltip="单击查看价目单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9372600" y="152400"/>
          <a:ext cx="1076325" cy="457201"/>
          <a:chOff x="8305800" y="352425"/>
          <a:chExt cx="904875" cy="342901"/>
        </a:xfrm>
      </xdr:grpSpPr>
      <xdr:sp macro="" textlink="">
        <xdr:nvSpPr>
          <xdr:cNvPr id="5" name="任意多边形 6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/>
          </xdr:cNvSpPr>
        </xdr:nvSpPr>
        <xdr:spPr bwMode="auto">
          <a:xfrm>
            <a:off x="9085094" y="457200"/>
            <a:ext cx="67621" cy="133350"/>
          </a:xfrm>
          <a:custGeom>
            <a:avLst/>
            <a:gdLst>
              <a:gd name="T0" fmla="*/ 0 w 1633"/>
              <a:gd name="T1" fmla="*/ 0 h 3029"/>
              <a:gd name="T2" fmla="*/ 759 w 1633"/>
              <a:gd name="T3" fmla="*/ 0 h 3029"/>
              <a:gd name="T4" fmla="*/ 1633 w 1633"/>
              <a:gd name="T5" fmla="*/ 1514 h 3029"/>
              <a:gd name="T6" fmla="*/ 759 w 1633"/>
              <a:gd name="T7" fmla="*/ 3029 h 3029"/>
              <a:gd name="T8" fmla="*/ 5 w 1633"/>
              <a:gd name="T9" fmla="*/ 3029 h 3029"/>
              <a:gd name="T10" fmla="*/ 884 w 1633"/>
              <a:gd name="T11" fmla="*/ 1514 h 3029"/>
              <a:gd name="T12" fmla="*/ 0 w 1633"/>
              <a:gd name="T13" fmla="*/ 0 h 30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33" h="3029">
                <a:moveTo>
                  <a:pt x="0" y="0"/>
                </a:moveTo>
                <a:lnTo>
                  <a:pt x="759" y="0"/>
                </a:lnTo>
                <a:lnTo>
                  <a:pt x="1633" y="1514"/>
                </a:lnTo>
                <a:lnTo>
                  <a:pt x="759" y="3029"/>
                </a:lnTo>
                <a:lnTo>
                  <a:pt x="5" y="3029"/>
                </a:lnTo>
                <a:lnTo>
                  <a:pt x="884" y="151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任意多边形 7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9143054" y="457200"/>
            <a:ext cx="67621" cy="133350"/>
          </a:xfrm>
          <a:custGeom>
            <a:avLst/>
            <a:gdLst>
              <a:gd name="T0" fmla="*/ 0 w 1633"/>
              <a:gd name="T1" fmla="*/ 0 h 3029"/>
              <a:gd name="T2" fmla="*/ 759 w 1633"/>
              <a:gd name="T3" fmla="*/ 0 h 3029"/>
              <a:gd name="T4" fmla="*/ 1633 w 1633"/>
              <a:gd name="T5" fmla="*/ 1514 h 3029"/>
              <a:gd name="T6" fmla="*/ 759 w 1633"/>
              <a:gd name="T7" fmla="*/ 3029 h 3029"/>
              <a:gd name="T8" fmla="*/ 5 w 1633"/>
              <a:gd name="T9" fmla="*/ 3029 h 3029"/>
              <a:gd name="T10" fmla="*/ 884 w 1633"/>
              <a:gd name="T11" fmla="*/ 1514 h 3029"/>
              <a:gd name="T12" fmla="*/ 0 w 1633"/>
              <a:gd name="T13" fmla="*/ 0 h 30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33" h="3029">
                <a:moveTo>
                  <a:pt x="0" y="0"/>
                </a:moveTo>
                <a:lnTo>
                  <a:pt x="759" y="0"/>
                </a:lnTo>
                <a:lnTo>
                  <a:pt x="1633" y="1514"/>
                </a:lnTo>
                <a:lnTo>
                  <a:pt x="759" y="3029"/>
                </a:lnTo>
                <a:lnTo>
                  <a:pt x="5" y="3029"/>
                </a:lnTo>
                <a:lnTo>
                  <a:pt x="884" y="151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文本框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8305800" y="352425"/>
            <a:ext cx="808275" cy="342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/>
          <a:lstStyle/>
          <a:p>
            <a:pPr algn="r"/>
            <a:r>
              <a:rPr lang="zh-CN" altLang="en-US" sz="1200">
                <a:ln>
                  <a:noFill/>
                </a:ln>
                <a:solidFill>
                  <a:schemeClr val="accent3">
                    <a:lumMod val="7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价目单</a:t>
            </a:r>
            <a:endParaRPr lang="en-US" sz="1200" b="1" spc="-100" baseline="0">
              <a:ln>
                <a:noFill/>
              </a:ln>
              <a:solidFill>
                <a:schemeClr val="accent3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DokChampa" pitchFamily="34" charset="-34"/>
            </a:endParaRPr>
          </a:p>
        </xdr:txBody>
      </xdr:sp>
    </xdr:grpSp>
    <xdr:clientData fPrintsWithSheet="0"/>
  </xdr:twoCellAnchor>
  <xdr:twoCellAnchor>
    <xdr:from>
      <xdr:col>7</xdr:col>
      <xdr:colOff>838200</xdr:colOff>
      <xdr:row>0</xdr:row>
      <xdr:rowOff>152400</xdr:rowOff>
    </xdr:from>
    <xdr:to>
      <xdr:col>8</xdr:col>
      <xdr:colOff>647701</xdr:colOff>
      <xdr:row>1</xdr:row>
      <xdr:rowOff>9526</xdr:rowOff>
    </xdr:to>
    <xdr:grpSp>
      <xdr:nvGrpSpPr>
        <xdr:cNvPr id="36" name="报表" descr="&quot;&quot;" title="产品销售报表（导航按钮）">
          <a:hlinkClick xmlns:r="http://schemas.openxmlformats.org/officeDocument/2006/relationships" r:id="rId2" tooltip="单击查看产品销售报表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8143875" y="152400"/>
          <a:ext cx="1047751" cy="457201"/>
          <a:chOff x="7134225" y="352425"/>
          <a:chExt cx="790576" cy="342901"/>
        </a:xfrm>
      </xdr:grpSpPr>
      <xdr:sp macro="" textlink="">
        <xdr:nvSpPr>
          <xdr:cNvPr id="9" name="任意多边形 6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/>
          </xdr:cNvSpPr>
        </xdr:nvSpPr>
        <xdr:spPr bwMode="auto">
          <a:xfrm rot="10800000">
            <a:off x="7134225" y="457200"/>
            <a:ext cx="67655" cy="133350"/>
          </a:xfrm>
          <a:custGeom>
            <a:avLst/>
            <a:gdLst>
              <a:gd name="T0" fmla="*/ 0 w 1633"/>
              <a:gd name="T1" fmla="*/ 0 h 3029"/>
              <a:gd name="T2" fmla="*/ 759 w 1633"/>
              <a:gd name="T3" fmla="*/ 0 h 3029"/>
              <a:gd name="T4" fmla="*/ 1633 w 1633"/>
              <a:gd name="T5" fmla="*/ 1514 h 3029"/>
              <a:gd name="T6" fmla="*/ 759 w 1633"/>
              <a:gd name="T7" fmla="*/ 3029 h 3029"/>
              <a:gd name="T8" fmla="*/ 5 w 1633"/>
              <a:gd name="T9" fmla="*/ 3029 h 3029"/>
              <a:gd name="T10" fmla="*/ 884 w 1633"/>
              <a:gd name="T11" fmla="*/ 1514 h 3029"/>
              <a:gd name="T12" fmla="*/ 0 w 1633"/>
              <a:gd name="T13" fmla="*/ 0 h 30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33" h="3029">
                <a:moveTo>
                  <a:pt x="0" y="0"/>
                </a:moveTo>
                <a:lnTo>
                  <a:pt x="759" y="0"/>
                </a:lnTo>
                <a:lnTo>
                  <a:pt x="1633" y="1514"/>
                </a:lnTo>
                <a:lnTo>
                  <a:pt x="759" y="3029"/>
                </a:lnTo>
                <a:lnTo>
                  <a:pt x="5" y="3029"/>
                </a:lnTo>
                <a:lnTo>
                  <a:pt x="884" y="151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任意多边形 7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/>
          </xdr:cNvSpPr>
        </xdr:nvSpPr>
        <xdr:spPr bwMode="auto">
          <a:xfrm rot="10800000">
            <a:off x="7192215" y="457200"/>
            <a:ext cx="67655" cy="133350"/>
          </a:xfrm>
          <a:custGeom>
            <a:avLst/>
            <a:gdLst>
              <a:gd name="T0" fmla="*/ 0 w 1633"/>
              <a:gd name="T1" fmla="*/ 0 h 3029"/>
              <a:gd name="T2" fmla="*/ 759 w 1633"/>
              <a:gd name="T3" fmla="*/ 0 h 3029"/>
              <a:gd name="T4" fmla="*/ 1633 w 1633"/>
              <a:gd name="T5" fmla="*/ 1514 h 3029"/>
              <a:gd name="T6" fmla="*/ 759 w 1633"/>
              <a:gd name="T7" fmla="*/ 3029 h 3029"/>
              <a:gd name="T8" fmla="*/ 5 w 1633"/>
              <a:gd name="T9" fmla="*/ 3029 h 3029"/>
              <a:gd name="T10" fmla="*/ 884 w 1633"/>
              <a:gd name="T11" fmla="*/ 1514 h 3029"/>
              <a:gd name="T12" fmla="*/ 0 w 1633"/>
              <a:gd name="T13" fmla="*/ 0 h 30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33" h="3029">
                <a:moveTo>
                  <a:pt x="0" y="0"/>
                </a:moveTo>
                <a:lnTo>
                  <a:pt x="759" y="0"/>
                </a:lnTo>
                <a:lnTo>
                  <a:pt x="1633" y="1514"/>
                </a:lnTo>
                <a:lnTo>
                  <a:pt x="759" y="3029"/>
                </a:lnTo>
                <a:lnTo>
                  <a:pt x="5" y="3029"/>
                </a:lnTo>
                <a:lnTo>
                  <a:pt x="884" y="151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文本框 11" title="导航按钮标签 - 任务详细信息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7182551" y="352425"/>
            <a:ext cx="742250" cy="342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/>
          <a:lstStyle/>
          <a:p>
            <a:pPr algn="l"/>
            <a:r>
              <a:rPr lang="zh-CN" altLang="en-US" sz="1200">
                <a:ln>
                  <a:noFill/>
                </a:ln>
                <a:solidFill>
                  <a:schemeClr val="accent3">
                    <a:lumMod val="7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报表</a:t>
            </a:r>
            <a:endParaRPr lang="en-US" sz="1200" b="1" spc="-100" baseline="0">
              <a:ln>
                <a:noFill/>
              </a:ln>
              <a:solidFill>
                <a:schemeClr val="accent3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DokChampa" pitchFamily="34" charset="-34"/>
            </a:endParaRP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0</xdr:row>
      <xdr:rowOff>161925</xdr:rowOff>
    </xdr:from>
    <xdr:to>
      <xdr:col>6</xdr:col>
      <xdr:colOff>200024</xdr:colOff>
      <xdr:row>1</xdr:row>
      <xdr:rowOff>0</xdr:rowOff>
    </xdr:to>
    <xdr:grpSp>
      <xdr:nvGrpSpPr>
        <xdr:cNvPr id="2" name="历史数据" descr="&quot;&quot;" title="历史数据（导航按钮）">
          <a:hlinkClick xmlns:r="http://schemas.openxmlformats.org/officeDocument/2006/relationships" r:id="rId1" tooltip="单击查看历史数据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591425" y="161925"/>
          <a:ext cx="1371599" cy="438150"/>
          <a:chOff x="7248525" y="342900"/>
          <a:chExt cx="1371599" cy="342901"/>
        </a:xfrm>
      </xdr:grpSpPr>
      <xdr:sp macro="" textlink="">
        <xdr:nvSpPr>
          <xdr:cNvPr id="5" name="任意多边形 6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>
            <a:spLocks/>
          </xdr:cNvSpPr>
        </xdr:nvSpPr>
        <xdr:spPr bwMode="auto">
          <a:xfrm rot="10800000">
            <a:off x="7248525" y="457201"/>
            <a:ext cx="67655" cy="133350"/>
          </a:xfrm>
          <a:custGeom>
            <a:avLst/>
            <a:gdLst>
              <a:gd name="T0" fmla="*/ 0 w 1633"/>
              <a:gd name="T1" fmla="*/ 0 h 3029"/>
              <a:gd name="T2" fmla="*/ 759 w 1633"/>
              <a:gd name="T3" fmla="*/ 0 h 3029"/>
              <a:gd name="T4" fmla="*/ 1633 w 1633"/>
              <a:gd name="T5" fmla="*/ 1514 h 3029"/>
              <a:gd name="T6" fmla="*/ 759 w 1633"/>
              <a:gd name="T7" fmla="*/ 3029 h 3029"/>
              <a:gd name="T8" fmla="*/ 5 w 1633"/>
              <a:gd name="T9" fmla="*/ 3029 h 3029"/>
              <a:gd name="T10" fmla="*/ 884 w 1633"/>
              <a:gd name="T11" fmla="*/ 1514 h 3029"/>
              <a:gd name="T12" fmla="*/ 0 w 1633"/>
              <a:gd name="T13" fmla="*/ 0 h 30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33" h="3029">
                <a:moveTo>
                  <a:pt x="0" y="0"/>
                </a:moveTo>
                <a:lnTo>
                  <a:pt x="759" y="0"/>
                </a:lnTo>
                <a:lnTo>
                  <a:pt x="1633" y="1514"/>
                </a:lnTo>
                <a:lnTo>
                  <a:pt x="759" y="3029"/>
                </a:lnTo>
                <a:lnTo>
                  <a:pt x="5" y="3029"/>
                </a:lnTo>
                <a:lnTo>
                  <a:pt x="884" y="151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任意多边形 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/>
          </xdr:cNvSpPr>
        </xdr:nvSpPr>
        <xdr:spPr bwMode="auto">
          <a:xfrm rot="10800000">
            <a:off x="7306515" y="457201"/>
            <a:ext cx="67655" cy="133350"/>
          </a:xfrm>
          <a:custGeom>
            <a:avLst/>
            <a:gdLst>
              <a:gd name="T0" fmla="*/ 0 w 1633"/>
              <a:gd name="T1" fmla="*/ 0 h 3029"/>
              <a:gd name="T2" fmla="*/ 759 w 1633"/>
              <a:gd name="T3" fmla="*/ 0 h 3029"/>
              <a:gd name="T4" fmla="*/ 1633 w 1633"/>
              <a:gd name="T5" fmla="*/ 1514 h 3029"/>
              <a:gd name="T6" fmla="*/ 759 w 1633"/>
              <a:gd name="T7" fmla="*/ 3029 h 3029"/>
              <a:gd name="T8" fmla="*/ 5 w 1633"/>
              <a:gd name="T9" fmla="*/ 3029 h 3029"/>
              <a:gd name="T10" fmla="*/ 884 w 1633"/>
              <a:gd name="T11" fmla="*/ 1514 h 3029"/>
              <a:gd name="T12" fmla="*/ 0 w 1633"/>
              <a:gd name="T13" fmla="*/ 0 h 30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633" h="3029">
                <a:moveTo>
                  <a:pt x="0" y="0"/>
                </a:moveTo>
                <a:lnTo>
                  <a:pt x="759" y="0"/>
                </a:lnTo>
                <a:lnTo>
                  <a:pt x="1633" y="1514"/>
                </a:lnTo>
                <a:lnTo>
                  <a:pt x="759" y="3029"/>
                </a:lnTo>
                <a:lnTo>
                  <a:pt x="5" y="3029"/>
                </a:lnTo>
                <a:lnTo>
                  <a:pt x="884" y="1514"/>
                </a:lnTo>
                <a:lnTo>
                  <a:pt x="0" y="0"/>
                </a:lnTo>
                <a:close/>
              </a:path>
            </a:pathLst>
          </a:custGeom>
          <a:solidFill>
            <a:schemeClr val="accent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文本框 6" title="导航按钮标签 - 任务详细信息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7325425" y="342900"/>
            <a:ext cx="1294699" cy="342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/>
          <a:lstStyle/>
          <a:p>
            <a:r>
              <a:rPr lang="zh-CN" altLang="en-US" sz="1100">
                <a:solidFill>
                  <a:schemeClr val="accent3">
                    <a:lumMod val="7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历史数据</a:t>
            </a:r>
            <a:endParaRPr lang="en-US" sz="1200">
              <a:solidFill>
                <a:schemeClr val="accent3">
                  <a:lumMod val="7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nokwan Ngasuwan" refreshedDate="41257.719631944441" createdVersion="5" refreshedVersion="5" minRefreshableVersion="3" recordCount="30">
  <cacheSource type="worksheet">
    <worksheetSource name="tblSales"/>
  </cacheSource>
  <cacheFields count="9">
    <cacheField name="产品 ID" numFmtId="0">
      <sharedItems containsSemiMixedTypes="0" containsString="0" containsNumber="1" containsInteger="1" minValue="1" maxValue="5"/>
    </cacheField>
    <cacheField name="产品名称" numFmtId="0">
      <sharedItems count="5">
        <s v="短裤"/>
        <s v="衬衫"/>
        <s v="凉鞋"/>
        <s v="雨伞"/>
        <s v="水瓶"/>
      </sharedItems>
    </cacheField>
    <cacheField name="价格日期" numFmtId="14">
      <sharedItems containsSemiMixedTypes="0" containsNonDate="0" containsDate="1" containsString="0" minDate="2012-01-01T00:00:00" maxDate="2013-12-12T00:00:00" count="7">
        <d v="2012-01-01T00:00:00"/>
        <d v="2012-02-01T00:00:00"/>
        <d v="2012-02-29T00:00:00"/>
        <d v="2012-03-31T00:00:00"/>
        <d v="2012-04-30T00:00:00"/>
        <d v="2012-05-14T00:00:00"/>
        <d v="2013-12-11T00:00:00"/>
      </sharedItems>
      <fieldGroup base="2">
        <rangePr groupBy="months" startDate="2012-01-01T00:00:00" endDate="2013-12-12T00:00:00"/>
        <groupItems count="14">
          <s v="&lt;2012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3/12/12"/>
        </groupItems>
      </fieldGroup>
    </cacheField>
    <cacheField name="单位零售价" numFmtId="3">
      <sharedItems containsSemiMixedTypes="0" containsString="0" containsNumber="1" containsInteger="1" minValue="20" maxValue="980" count="48">
        <n v="200"/>
        <n v="880"/>
        <n v="700"/>
        <n v="630"/>
        <n v="350"/>
        <n v="550"/>
        <n v="830"/>
        <n v="340"/>
        <n v="410"/>
        <n v="270"/>
        <n v="380"/>
        <n v="920"/>
        <n v="430"/>
        <n v="980"/>
        <n v="500"/>
        <n v="240"/>
        <n v="720"/>
        <n v="850"/>
        <n v="910"/>
        <n v="420"/>
        <n v="820"/>
        <n v="640"/>
        <n v="330"/>
        <n v="290"/>
        <n v="34" u="1"/>
        <n v="38" u="1"/>
        <n v="83" u="1"/>
        <n v="63" u="1"/>
        <n v="42" u="1"/>
        <n v="91" u="1"/>
        <n v="70" u="1"/>
        <n v="82" u="1"/>
        <n v="50" u="1"/>
        <n v="20" u="1"/>
        <n v="33" u="1"/>
        <n v="98" u="1"/>
        <n v="35" u="1"/>
        <n v="85" u="1"/>
        <n v="24" u="1"/>
        <n v="64" u="1"/>
        <n v="41" u="1"/>
        <n v="43" u="1"/>
        <n v="72" u="1"/>
        <n v="27" u="1"/>
        <n v="29" u="1"/>
        <n v="88" u="1"/>
        <n v="92" u="1"/>
        <n v="55" u="1"/>
      </sharedItems>
    </cacheField>
    <cacheField name="单位批发价*" numFmtId="178">
      <sharedItems containsSemiMixedTypes="0" containsString="0" containsNumber="1" containsInteger="1" minValue="150" maxValue="920"/>
    </cacheField>
    <cacheField name="售出件数（零售）" numFmtId="3">
      <sharedItems containsSemiMixedTypes="0" containsString="0" containsNumber="1" containsInteger="1" minValue="530" maxValue="986"/>
    </cacheField>
    <cacheField name="售出件数（批发）" numFmtId="3">
      <sharedItems containsSemiMixedTypes="0" containsString="0" containsNumber="1" containsInteger="1" minValue="1005" maxValue="1994"/>
    </cacheField>
    <cacheField name="总销售（数量）" numFmtId="3">
      <sharedItems containsSemiMixedTypes="0" containsString="0" containsNumber="1" containsInteger="1" minValue="1569" maxValue="2833"/>
    </cacheField>
    <cacheField name="总销售（金额）" numFmtId="178">
      <sharedItems containsSemiMixedTypes="0" containsString="0" containsNumber="1" containsInteger="1" minValue="376600" maxValue="2044240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n v="5"/>
    <x v="0"/>
    <x v="0"/>
    <x v="0"/>
    <n v="200"/>
    <n v="629"/>
    <n v="1254"/>
    <n v="1883"/>
    <n v="376600"/>
  </r>
  <r>
    <n v="1"/>
    <x v="1"/>
    <x v="0"/>
    <x v="1"/>
    <n v="540"/>
    <n v="734"/>
    <n v="1427"/>
    <n v="2161"/>
    <n v="1416500"/>
  </r>
  <r>
    <n v="2"/>
    <x v="2"/>
    <x v="0"/>
    <x v="2"/>
    <n v="440"/>
    <n v="744"/>
    <n v="1043"/>
    <n v="1787"/>
    <n v="979720"/>
  </r>
  <r>
    <n v="3"/>
    <x v="3"/>
    <x v="0"/>
    <x v="3"/>
    <n v="440"/>
    <n v="681"/>
    <n v="1523"/>
    <n v="2204"/>
    <n v="1099150"/>
  </r>
  <r>
    <n v="4"/>
    <x v="4"/>
    <x v="0"/>
    <x v="4"/>
    <n v="270"/>
    <n v="602"/>
    <n v="1822"/>
    <n v="2424"/>
    <n v="702640"/>
  </r>
  <r>
    <n v="1"/>
    <x v="1"/>
    <x v="1"/>
    <x v="5"/>
    <n v="440"/>
    <n v="678"/>
    <n v="1515"/>
    <n v="2193"/>
    <n v="1039500"/>
  </r>
  <r>
    <n v="2"/>
    <x v="2"/>
    <x v="1"/>
    <x v="6"/>
    <n v="540"/>
    <n v="753"/>
    <n v="1005"/>
    <n v="1758"/>
    <n v="1167690"/>
  </r>
  <r>
    <n v="3"/>
    <x v="3"/>
    <x v="1"/>
    <x v="7"/>
    <n v="340"/>
    <n v="986"/>
    <n v="1069"/>
    <n v="2055"/>
    <n v="698700"/>
  </r>
  <r>
    <n v="4"/>
    <x v="4"/>
    <x v="1"/>
    <x v="4"/>
    <n v="250"/>
    <n v="848"/>
    <n v="1211"/>
    <n v="2059"/>
    <n v="599550"/>
  </r>
  <r>
    <n v="5"/>
    <x v="0"/>
    <x v="1"/>
    <x v="8"/>
    <n v="380"/>
    <n v="980"/>
    <n v="1330"/>
    <n v="2310"/>
    <n v="907200"/>
  </r>
  <r>
    <n v="1"/>
    <x v="1"/>
    <x v="2"/>
    <x v="9"/>
    <n v="180"/>
    <n v="533"/>
    <n v="1936"/>
    <n v="2469"/>
    <n v="492390"/>
  </r>
  <r>
    <n v="2"/>
    <x v="2"/>
    <x v="2"/>
    <x v="10"/>
    <n v="280"/>
    <n v="952"/>
    <n v="1512"/>
    <n v="2464"/>
    <n v="785120"/>
  </r>
  <r>
    <n v="3"/>
    <x v="3"/>
    <x v="2"/>
    <x v="11"/>
    <n v="920"/>
    <n v="956"/>
    <n v="1266"/>
    <n v="2222"/>
    <n v="2044240"/>
  </r>
  <r>
    <n v="4"/>
    <x v="4"/>
    <x v="2"/>
    <x v="12"/>
    <n v="360"/>
    <n v="952"/>
    <n v="1390"/>
    <n v="2342"/>
    <n v="909760"/>
  </r>
  <r>
    <n v="5"/>
    <x v="0"/>
    <x v="2"/>
    <x v="13"/>
    <n v="730"/>
    <n v="530"/>
    <n v="1452"/>
    <n v="1982"/>
    <n v="1579360"/>
  </r>
  <r>
    <n v="1"/>
    <x v="1"/>
    <x v="3"/>
    <x v="10"/>
    <n v="280"/>
    <n v="973"/>
    <n v="1415"/>
    <n v="2388"/>
    <n v="765940"/>
  </r>
  <r>
    <n v="2"/>
    <x v="2"/>
    <x v="3"/>
    <x v="14"/>
    <n v="360"/>
    <n v="672"/>
    <n v="1105"/>
    <n v="1777"/>
    <n v="733800"/>
  </r>
  <r>
    <n v="3"/>
    <x v="3"/>
    <x v="3"/>
    <x v="15"/>
    <n v="230"/>
    <n v="769"/>
    <n v="1629"/>
    <n v="2398"/>
    <n v="559230"/>
  </r>
  <r>
    <n v="4"/>
    <x v="4"/>
    <x v="3"/>
    <x v="16"/>
    <n v="570"/>
    <n v="985"/>
    <n v="1848"/>
    <n v="2833"/>
    <n v="1762560"/>
  </r>
  <r>
    <n v="5"/>
    <x v="0"/>
    <x v="3"/>
    <x v="17"/>
    <n v="430"/>
    <n v="721"/>
    <n v="1426"/>
    <n v="2147"/>
    <n v="1226030"/>
  </r>
  <r>
    <n v="1"/>
    <x v="1"/>
    <x v="4"/>
    <x v="18"/>
    <n v="650"/>
    <n v="603"/>
    <n v="1226"/>
    <n v="1829"/>
    <n v="1345630"/>
  </r>
  <r>
    <n v="2"/>
    <x v="2"/>
    <x v="4"/>
    <x v="18"/>
    <n v="550"/>
    <n v="892"/>
    <n v="1823"/>
    <n v="2715"/>
    <n v="1814370"/>
  </r>
  <r>
    <n v="3"/>
    <x v="3"/>
    <x v="4"/>
    <x v="19"/>
    <n v="420"/>
    <n v="611"/>
    <n v="1181"/>
    <n v="1792"/>
    <n v="752640"/>
  </r>
  <r>
    <n v="4"/>
    <x v="4"/>
    <x v="4"/>
    <x v="17"/>
    <n v="430"/>
    <n v="530"/>
    <n v="1039"/>
    <n v="1569"/>
    <n v="897270"/>
  </r>
  <r>
    <n v="5"/>
    <x v="0"/>
    <x v="4"/>
    <x v="20"/>
    <n v="710"/>
    <n v="716"/>
    <n v="1249"/>
    <n v="1965"/>
    <n v="1473910"/>
  </r>
  <r>
    <n v="1"/>
    <x v="1"/>
    <x v="5"/>
    <x v="7"/>
    <n v="310"/>
    <n v="850"/>
    <n v="1548"/>
    <n v="2398"/>
    <n v="768880"/>
  </r>
  <r>
    <n v="2"/>
    <x v="2"/>
    <x v="5"/>
    <x v="21"/>
    <n v="400"/>
    <n v="876"/>
    <n v="1663"/>
    <n v="2539"/>
    <n v="1225840"/>
  </r>
  <r>
    <n v="3"/>
    <x v="3"/>
    <x v="5"/>
    <x v="22"/>
    <n v="300"/>
    <n v="881"/>
    <n v="1149"/>
    <n v="2030"/>
    <n v="635430"/>
  </r>
  <r>
    <n v="4"/>
    <x v="4"/>
    <x v="5"/>
    <x v="23"/>
    <n v="270"/>
    <n v="802"/>
    <n v="1548"/>
    <n v="2350"/>
    <n v="650540"/>
  </r>
  <r>
    <n v="5"/>
    <x v="0"/>
    <x v="6"/>
    <x v="15"/>
    <n v="150"/>
    <n v="824"/>
    <n v="1994"/>
    <n v="2818"/>
    <n v="4968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价格点" cacheId="3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4" indent="0" compact="0" compactData="0" multipleFieldFilters="0" chartFormat="10">
  <location ref="B4:D10" firstHeaderRow="1" firstDataRow="1" firstDataCol="2"/>
  <pivotFields count="9">
    <pivotField compact="0" outline="0" showAll="0" defaultSubtotal="0"/>
    <pivotField axis="axisRow" compact="0" outline="0" showAll="0" defaultSubtotal="0">
      <items count="5">
        <item x="2"/>
        <item h="1" x="3"/>
        <item h="1" x="1"/>
        <item h="1" x="0"/>
        <item h="1" x="4"/>
      </items>
    </pivotField>
    <pivotField compact="0" numFmtId="14" outline="0" showAll="0" defaultSubtotal="0"/>
    <pivotField axis="axisRow" compact="0" numFmtId="3" outline="0" showAll="0" defaultSubtotal="0">
      <items count="48">
        <item m="1" x="33"/>
        <item m="1" x="38"/>
        <item m="1" x="43"/>
        <item m="1" x="44"/>
        <item m="1" x="34"/>
        <item m="1" x="24"/>
        <item m="1" x="36"/>
        <item m="1" x="25"/>
        <item m="1" x="40"/>
        <item m="1" x="28"/>
        <item m="1" x="41"/>
        <item m="1" x="32"/>
        <item m="1" x="47"/>
        <item m="1" x="27"/>
        <item m="1" x="39"/>
        <item m="1" x="30"/>
        <item m="1" x="42"/>
        <item m="1" x="31"/>
        <item m="1" x="26"/>
        <item m="1" x="37"/>
        <item m="1" x="45"/>
        <item m="1" x="29"/>
        <item m="1" x="46"/>
        <item m="1" x="35"/>
        <item x="0"/>
        <item x="15"/>
        <item x="9"/>
        <item x="23"/>
        <item x="22"/>
        <item x="7"/>
        <item x="4"/>
        <item x="10"/>
        <item x="8"/>
        <item x="19"/>
        <item x="12"/>
        <item x="14"/>
        <item x="5"/>
        <item x="3"/>
        <item x="21"/>
        <item x="2"/>
        <item x="16"/>
        <item x="20"/>
        <item x="6"/>
        <item x="17"/>
        <item x="1"/>
        <item x="18"/>
        <item x="11"/>
        <item x="13"/>
      </items>
    </pivotField>
    <pivotField compact="0" numFmtId="177" outline="0" showAll="0" defaultSubtotal="0"/>
    <pivotField compact="0" numFmtId="3" outline="0" showAll="0" defaultSubtotal="0"/>
    <pivotField compact="0" numFmtId="3" outline="0" showAll="0" defaultSubtotal="0"/>
    <pivotField dataField="1" compact="0" numFmtId="3" outline="0" showAll="0" defaultSubtotal="0"/>
    <pivotField compact="0" numFmtId="177" outline="0" showAll="0" defaultSubtotal="0"/>
  </pivotFields>
  <rowFields count="2">
    <field x="1"/>
    <field x="3"/>
  </rowFields>
  <rowItems count="6">
    <i>
      <x/>
      <x v="31"/>
    </i>
    <i r="1">
      <x v="35"/>
    </i>
    <i r="1">
      <x v="38"/>
    </i>
    <i r="1">
      <x v="39"/>
    </i>
    <i r="1">
      <x v="42"/>
    </i>
    <i r="1">
      <x v="45"/>
    </i>
  </rowItems>
  <colItems count="1">
    <i/>
  </colItems>
  <dataFields count="1">
    <dataField name="求和项:总销售（数量）" fld="7" baseField="0" baseItem="0"/>
  </dataFields>
  <formats count="11">
    <format dxfId="15">
      <pivotArea dataOnly="0" labelOnly="1" outline="0" fieldPosition="0">
        <references count="2">
          <reference field="1" count="0" selected="0"/>
          <reference field="3" count="6">
            <x v="7"/>
            <x v="11"/>
            <x v="14"/>
            <x v="15"/>
            <x v="18"/>
            <x v="21"/>
          </reference>
        </references>
      </pivotArea>
    </format>
    <format dxfId="14">
      <pivotArea dataOnly="0" labelOnly="1" outline="0" fieldPosition="0">
        <references count="2">
          <reference field="1" count="1" selected="0">
            <x v="0"/>
          </reference>
          <reference field="3" count="6">
            <x v="31"/>
            <x v="35"/>
            <x v="38"/>
            <x v="39"/>
            <x v="42"/>
            <x v="45"/>
          </reference>
        </references>
      </pivotArea>
    </format>
    <format dxfId="13">
      <pivotArea dataOnly="0" labelOnly="1" outline="0" fieldPosition="0">
        <references count="2">
          <reference field="1" count="1" selected="0">
            <x v="1"/>
          </reference>
          <reference field="3" count="6">
            <x v="25"/>
            <x v="28"/>
            <x v="29"/>
            <x v="33"/>
            <x v="37"/>
            <x v="46"/>
          </reference>
        </references>
      </pivotArea>
    </format>
    <format dxfId="12">
      <pivotArea dataOnly="0" labelOnly="1" outline="0" fieldPosition="0">
        <references count="2">
          <reference field="1" count="1" selected="0">
            <x v="2"/>
          </reference>
          <reference field="3" count="6">
            <x v="26"/>
            <x v="29"/>
            <x v="31"/>
            <x v="36"/>
            <x v="44"/>
            <x v="45"/>
          </reference>
        </references>
      </pivotArea>
    </format>
    <format dxfId="11">
      <pivotArea dataOnly="0" labelOnly="1" outline="0" fieldPosition="0">
        <references count="2">
          <reference field="1" count="1" selected="0">
            <x v="3"/>
          </reference>
          <reference field="3" count="6">
            <x v="24"/>
            <x v="25"/>
            <x v="32"/>
            <x v="41"/>
            <x v="43"/>
            <x v="47"/>
          </reference>
        </references>
      </pivotArea>
    </format>
    <format dxfId="10">
      <pivotArea dataOnly="0" labelOnly="1" outline="0" fieldPosition="0">
        <references count="2">
          <reference field="1" count="1" selected="0">
            <x v="4"/>
          </reference>
          <reference field="3" count="5">
            <x v="27"/>
            <x v="30"/>
            <x v="34"/>
            <x v="40"/>
            <x v="43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dataOnly="0" labelOnly="1" outline="0" fieldPosition="0">
        <references count="1">
          <reference field="1" count="0"/>
        </references>
      </pivotArea>
    </format>
    <format dxfId="5">
      <pivotArea dataOnly="0" labelOnly="1" outline="0" fieldPosition="0">
        <references count="2">
          <reference field="1" count="0" selected="0"/>
          <reference field="3" count="6">
            <x v="31"/>
            <x v="35"/>
            <x v="38"/>
            <x v="39"/>
            <x v="42"/>
            <x v="45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销售趋势" cacheId="3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4" indent="0" compact="0" compactData="0" multipleFieldFilters="0" chartFormat="10">
  <location ref="B3:C9" firstHeaderRow="1" firstDataRow="2" firstDataCol="1"/>
  <pivotFields count="9">
    <pivotField compact="0" outline="0" showAll="0" defaultSubtotal="0"/>
    <pivotField axis="axisCol" compact="0" outline="0" showAll="0" defaultSubtotal="0">
      <items count="5">
        <item h="1" x="1"/>
        <item h="1" x="0"/>
        <item x="2"/>
        <item h="1" x="4"/>
        <item h="1" x="3"/>
      </items>
    </pivotField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numFmtId="3" outline="0" showAll="0" defaultSubtotal="0"/>
    <pivotField compact="0" numFmtId="177" outline="0" showAll="0" defaultSubtotal="0"/>
    <pivotField compact="0" numFmtId="3" outline="0" showAll="0" defaultSubtotal="0"/>
    <pivotField compact="0" numFmtId="3" outline="0" showAll="0" defaultSubtotal="0"/>
    <pivotField dataField="1" compact="0" numFmtId="3" outline="0" showAll="0" defaultSubtotal="0"/>
    <pivotField compact="0" numFmtId="177" outline="0" showAll="0" defaultSubtotal="0"/>
  </pivotFields>
  <rowFields count="1">
    <field x="2"/>
  </rowFields>
  <rowItems count="5">
    <i>
      <x v="1"/>
    </i>
    <i>
      <x v="2"/>
    </i>
    <i>
      <x v="3"/>
    </i>
    <i>
      <x v="4"/>
    </i>
    <i>
      <x v="5"/>
    </i>
  </rowItems>
  <colFields count="1">
    <field x="1"/>
  </colFields>
  <colItems count="1">
    <i>
      <x v="2"/>
    </i>
  </colItems>
  <dataFields count="1">
    <dataField name="求和项:总销售（数量）" fld="7" baseField="0" baseItem="0"/>
  </dataFields>
  <formats count="5"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Col" fieldPosition="0"/>
    </format>
    <format dxfId="1">
      <pivotArea dataOnly="0" labelOnly="1" outline="0" fieldPosition="0">
        <references count="1">
          <reference field="2" count="5">
            <x v="1"/>
            <x v="2"/>
            <x v="3"/>
            <x v="4"/>
            <x v="5"/>
          </reference>
        </references>
      </pivotArea>
    </format>
    <format dxfId="0">
      <pivotArea dataOnly="0" labelOnly="1" outline="0" fieldPosition="0">
        <references count="1">
          <reference field="1" count="0"/>
        </references>
      </pivotArea>
    </format>
  </formats>
  <chartFormats count="5"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产品名称" sourceName="产品名称">
  <pivotTables>
    <pivotTable tabId="8" name="销售趋势"/>
    <pivotTable tabId="5" name="价格点"/>
  </pivotTables>
  <data>
    <tabular pivotCacheId="2" showMissing="0">
      <items count="5">
        <i x="1"/>
        <i x="0"/>
        <i x="2" s="1"/>
        <i x="4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产品名称" cache="切片器_产品名称" caption="产品名称" columnCount="5" showCaption="0" rowHeight="273050"/>
</slicers>
</file>

<file path=xl/tables/table1.xml><?xml version="1.0" encoding="utf-8"?>
<table xmlns="http://schemas.openxmlformats.org/spreadsheetml/2006/main" id="3" name="tblSales" displayName="tblSales" ref="B3:J33" totalsRowShown="0" headerRowDxfId="33" dataDxfId="32">
  <tableColumns count="9">
    <tableColumn id="1" name="产品 ID" dataDxfId="31"/>
    <tableColumn id="2" name="产品名称" dataDxfId="30">
      <calculatedColumnFormula>IFERROR(IF(tblSales[[#This Row],[产品 ID]]&lt;&gt;"",VLOOKUP(tblSales[产品 ID],tblProducts[[产品 ID]:[名称]],2,FALSE),""),"未知产品 ID")</calculatedColumnFormula>
    </tableColumn>
    <tableColumn id="3" name="价格日期" dataDxfId="29"/>
    <tableColumn id="4" name="单位零售价" dataDxfId="28"/>
    <tableColumn id="5" name="单位批发价*" dataDxfId="27"/>
    <tableColumn id="6" name="售出件数（零售）" dataDxfId="26"/>
    <tableColumn id="7" name="售出件数（批发）" dataDxfId="25"/>
    <tableColumn id="8" name="总销售（数量）" dataDxfId="24">
      <calculatedColumnFormula>tblSales[[#This Row],[售出件数（零售）]]+tblSales[[#This Row],[售出件数（批发）]]</calculatedColumnFormula>
    </tableColumn>
    <tableColumn id="9" name="总销售（金额）" dataDxfId="23">
      <calculatedColumnFormula>tblSales[[#This Row],[售出件数（零售）]]*tblSales[[#This Row],[单位零售价]]+tblSales[[#This Row],[售出件数（批发）]]*tblSales[[#This Row],[单位批发价*]]</calculatedColumnFormula>
    </tableColumn>
  </tableColumns>
  <tableStyleInfo name="Product Price List" showFirstColumn="0" showLastColumn="0" showRowStripes="0" showColumnStripes="0"/>
  <extLst>
    <ext xmlns:x14="http://schemas.microsoft.com/office/spreadsheetml/2009/9/main" uri="{504A1905-F514-4f6f-8877-14C23A59335A}">
      <x14:table altText="销售表" altTextSummary="销售数据历史记录，例如，产品 ID、产品名称、价格日期、单位零售价、批发价、销售量（零售）、销售量（批发）、总销售量（件数）和总销售量（金额）。"/>
    </ext>
  </extLst>
</table>
</file>

<file path=xl/tables/table2.xml><?xml version="1.0" encoding="utf-8"?>
<table xmlns="http://schemas.openxmlformats.org/spreadsheetml/2006/main" id="2" name="tblProducts" displayName="tblProducts" ref="B10:F15" totalsRowShown="0" headerRowDxfId="22" dataDxfId="21">
  <tableColumns count="5">
    <tableColumn id="1" name="产品 ID" dataDxfId="20"/>
    <tableColumn id="3" name="名称" dataDxfId="19"/>
    <tableColumn id="4" name="描述" dataDxfId="18"/>
    <tableColumn id="5" name="单位零售价" dataDxfId="17"/>
    <tableColumn id="6" name="单位批发价*" dataDxfId="16"/>
  </tableColumns>
  <tableStyleInfo name="Product Price List" showFirstColumn="0" showLastColumn="0" showRowStripes="1" showColumnStripes="0"/>
  <extLst>
    <ext xmlns:x14="http://schemas.microsoft.com/office/spreadsheetml/2009/9/main" uri="{504A1905-F514-4f6f-8877-14C23A59335A}">
      <x14:table altText="产品价格列表" altTextSummary="所有可用产品和产品数据的总清单，例如，产品 ID、名称、描述、单位零售价和单位批发价。"/>
    </ext>
  </extLst>
</table>
</file>

<file path=xl/theme/theme1.xml><?xml version="1.0" encoding="utf-8"?>
<a:theme xmlns:a="http://schemas.openxmlformats.org/drawingml/2006/main" name="Office Theme">
  <a:themeElements>
    <a:clrScheme name="Product Price List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39ADDC"/>
      </a:accent1>
      <a:accent2>
        <a:srgbClr val="F47836"/>
      </a:accent2>
      <a:accent3>
        <a:srgbClr val="2CB15A"/>
      </a:accent3>
      <a:accent4>
        <a:srgbClr val="DB4D75"/>
      </a:accent4>
      <a:accent5>
        <a:srgbClr val="EAAD21"/>
      </a:accent5>
      <a:accent6>
        <a:srgbClr val="895EA7"/>
      </a:accent6>
      <a:hlink>
        <a:srgbClr val="39ADDC"/>
      </a:hlink>
      <a:folHlink>
        <a:srgbClr val="895EA7"/>
      </a:folHlink>
    </a:clrScheme>
    <a:fontScheme name="Produt Price List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adventure-works.com/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  <pageSetUpPr fitToPage="1"/>
  </sheetPr>
  <dimension ref="B1:B25"/>
  <sheetViews>
    <sheetView showGridLines="0" tabSelected="1" workbookViewId="0"/>
  </sheetViews>
  <sheetFormatPr defaultRowHeight="16.5" x14ac:dyDescent="0.35"/>
  <cols>
    <col min="1" max="1" width="3.5703125" style="6" customWidth="1"/>
    <col min="2" max="16" width="9.140625" style="6"/>
    <col min="17" max="17" width="3.5703125" style="6" customWidth="1"/>
    <col min="18" max="16384" width="9.140625" style="6"/>
  </cols>
  <sheetData>
    <row r="1" spans="2:2" s="2" customFormat="1" ht="47.25" customHeight="1" x14ac:dyDescent="0.5">
      <c r="B1" s="1" t="s">
        <v>42</v>
      </c>
    </row>
    <row r="2" spans="2:2" s="3" customFormat="1" x14ac:dyDescent="0.35"/>
    <row r="3" spans="2:2" s="3" customFormat="1" x14ac:dyDescent="0.35"/>
    <row r="4" spans="2:2" s="3" customFormat="1" x14ac:dyDescent="0.35"/>
    <row r="5" spans="2:2" s="3" customFormat="1" x14ac:dyDescent="0.35"/>
    <row r="6" spans="2:2" s="3" customFormat="1" x14ac:dyDescent="0.35"/>
    <row r="7" spans="2:2" s="3" customFormat="1" x14ac:dyDescent="0.35"/>
    <row r="8" spans="2:2" s="3" customFormat="1" x14ac:dyDescent="0.35"/>
    <row r="9" spans="2:2" s="3" customFormat="1" x14ac:dyDescent="0.35"/>
    <row r="10" spans="2:2" s="3" customFormat="1" x14ac:dyDescent="0.35"/>
    <row r="11" spans="2:2" s="3" customFormat="1" x14ac:dyDescent="0.35"/>
    <row r="12" spans="2:2" s="3" customFormat="1" x14ac:dyDescent="0.35"/>
    <row r="13" spans="2:2" s="3" customFormat="1" x14ac:dyDescent="0.35"/>
    <row r="14" spans="2:2" s="3" customFormat="1" x14ac:dyDescent="0.35"/>
    <row r="15" spans="2:2" s="3" customFormat="1" x14ac:dyDescent="0.35"/>
    <row r="16" spans="2:2" s="3" customFormat="1" x14ac:dyDescent="0.35"/>
    <row r="17" spans="2:2" s="3" customFormat="1" x14ac:dyDescent="0.35"/>
    <row r="18" spans="2:2" s="3" customFormat="1" ht="17.25" thickBot="1" x14ac:dyDescent="0.4"/>
    <row r="19" spans="2:2" s="4" customFormat="1" x14ac:dyDescent="0.35"/>
    <row r="20" spans="2:2" ht="21" x14ac:dyDescent="0.4">
      <c r="B20" s="5" t="s">
        <v>43</v>
      </c>
    </row>
    <row r="25" spans="2:2" ht="13.5" customHeight="1" x14ac:dyDescent="0.35">
      <c r="B25" s="7"/>
    </row>
  </sheetData>
  <phoneticPr fontId="8" type="noConversion"/>
  <printOptions horizontalCentered="1"/>
  <pageMargins left="0.45" right="0.45" top="0.5" bottom="0.5" header="0.3" footer="0.3"/>
  <pageSetup scale="93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0.499984740745262"/>
    <pageSetUpPr fitToPage="1"/>
  </sheetPr>
  <dimension ref="B1:J33"/>
  <sheetViews>
    <sheetView showGridLines="0" zoomScaleNormal="100" workbookViewId="0">
      <selection activeCell="F27" sqref="F27"/>
    </sheetView>
  </sheetViews>
  <sheetFormatPr defaultRowHeight="17.25" customHeight="1" x14ac:dyDescent="0.35"/>
  <cols>
    <col min="1" max="1" width="3.5703125" style="15" customWidth="1"/>
    <col min="2" max="2" width="11.5703125" style="15" customWidth="1"/>
    <col min="3" max="3" width="20.7109375" style="15" customWidth="1"/>
    <col min="4" max="4" width="13" style="15" customWidth="1"/>
    <col min="5" max="5" width="20.85546875" style="15" customWidth="1"/>
    <col min="6" max="6" width="21.28515625" style="15" customWidth="1"/>
    <col min="7" max="8" width="18.5703125" style="15" customWidth="1"/>
    <col min="9" max="10" width="16" style="15" customWidth="1"/>
    <col min="11" max="11" width="3.5703125" style="15" customWidth="1"/>
    <col min="12" max="26" width="9.140625" style="15" customWidth="1"/>
    <col min="27" max="16384" width="9.140625" style="15"/>
  </cols>
  <sheetData>
    <row r="1" spans="2:10" s="9" customFormat="1" ht="47.25" customHeight="1" x14ac:dyDescent="0.5">
      <c r="B1" s="8" t="s">
        <v>36</v>
      </c>
    </row>
    <row r="3" spans="2:10" ht="17.25" customHeight="1" x14ac:dyDescent="0.35">
      <c r="B3" s="10" t="s">
        <v>12</v>
      </c>
      <c r="C3" s="10" t="s">
        <v>30</v>
      </c>
      <c r="D3" s="11" t="s">
        <v>31</v>
      </c>
      <c r="E3" s="12" t="s">
        <v>15</v>
      </c>
      <c r="F3" s="13" t="s">
        <v>16</v>
      </c>
      <c r="G3" s="12" t="s">
        <v>32</v>
      </c>
      <c r="H3" s="12" t="s">
        <v>33</v>
      </c>
      <c r="I3" s="12" t="s">
        <v>34</v>
      </c>
      <c r="J3" s="14" t="s">
        <v>35</v>
      </c>
    </row>
    <row r="4" spans="2:10" ht="17.25" customHeight="1" x14ac:dyDescent="0.35">
      <c r="B4" s="16">
        <v>5</v>
      </c>
      <c r="C4" s="17" t="str">
        <f>IFERROR(IF(tblSales[[#This Row],[产品 ID]]&lt;&gt;"",VLOOKUP(tblSales[产品 ID],tblProducts[[产品 ID]:[名称]],2,FALSE),""),"未知产品 ID")</f>
        <v>短裤</v>
      </c>
      <c r="D4" s="18">
        <v>40909</v>
      </c>
      <c r="E4" s="19">
        <v>200</v>
      </c>
      <c r="F4" s="20">
        <v>200</v>
      </c>
      <c r="G4" s="19">
        <v>629</v>
      </c>
      <c r="H4" s="19">
        <v>1254</v>
      </c>
      <c r="I4" s="19">
        <f>tblSales[[#This Row],[售出件数（零售）]]+tblSales[[#This Row],[售出件数（批发）]]</f>
        <v>1883</v>
      </c>
      <c r="J4" s="21">
        <f>tblSales[[#This Row],[售出件数（零售）]]*tblSales[[#This Row],[单位零售价]]+tblSales[[#This Row],[售出件数（批发）]]*tblSales[[#This Row],[单位批发价*]]</f>
        <v>376600</v>
      </c>
    </row>
    <row r="5" spans="2:10" ht="17.25" customHeight="1" x14ac:dyDescent="0.35">
      <c r="B5" s="16">
        <v>1</v>
      </c>
      <c r="C5" s="17" t="str">
        <f>IFERROR(IF(tblSales[[#This Row],[产品 ID]]&lt;&gt;"",VLOOKUP(tblSales[产品 ID],tblProducts[[产品 ID]:[名称]],2,FALSE),""),"未知产品 ID")</f>
        <v>衬衫</v>
      </c>
      <c r="D5" s="18">
        <v>40909</v>
      </c>
      <c r="E5" s="19">
        <v>880</v>
      </c>
      <c r="F5" s="20">
        <v>540</v>
      </c>
      <c r="G5" s="19">
        <v>734</v>
      </c>
      <c r="H5" s="19">
        <v>1427</v>
      </c>
      <c r="I5" s="19">
        <f>tblSales[[#This Row],[售出件数（零售）]]+tblSales[[#This Row],[售出件数（批发）]]</f>
        <v>2161</v>
      </c>
      <c r="J5" s="21">
        <f>tblSales[[#This Row],[售出件数（零售）]]*tblSales[[#This Row],[单位零售价]]+tblSales[[#This Row],[售出件数（批发）]]*tblSales[[#This Row],[单位批发价*]]</f>
        <v>1416500</v>
      </c>
    </row>
    <row r="6" spans="2:10" ht="17.25" customHeight="1" x14ac:dyDescent="0.35">
      <c r="B6" s="16">
        <v>2</v>
      </c>
      <c r="C6" s="17" t="str">
        <f>IFERROR(IF(tblSales[[#This Row],[产品 ID]]&lt;&gt;"",VLOOKUP(tblSales[产品 ID],tblProducts[[产品 ID]:[名称]],2,FALSE),""),"未知产品 ID")</f>
        <v>凉鞋</v>
      </c>
      <c r="D6" s="18">
        <v>40909</v>
      </c>
      <c r="E6" s="19">
        <v>700</v>
      </c>
      <c r="F6" s="20">
        <v>440</v>
      </c>
      <c r="G6" s="19">
        <v>744</v>
      </c>
      <c r="H6" s="19">
        <v>1043</v>
      </c>
      <c r="I6" s="19">
        <f>tblSales[[#This Row],[售出件数（零售）]]+tblSales[[#This Row],[售出件数（批发）]]</f>
        <v>1787</v>
      </c>
      <c r="J6" s="21">
        <f>tblSales[[#This Row],[售出件数（零售）]]*tblSales[[#This Row],[单位零售价]]+tblSales[[#This Row],[售出件数（批发）]]*tblSales[[#This Row],[单位批发价*]]</f>
        <v>979720</v>
      </c>
    </row>
    <row r="7" spans="2:10" ht="17.25" customHeight="1" x14ac:dyDescent="0.35">
      <c r="B7" s="16">
        <v>3</v>
      </c>
      <c r="C7" s="17" t="str">
        <f>IFERROR(IF(tblSales[[#This Row],[产品 ID]]&lt;&gt;"",VLOOKUP(tblSales[产品 ID],tblProducts[[产品 ID]:[名称]],2,FALSE),""),"未知产品 ID")</f>
        <v>雨伞</v>
      </c>
      <c r="D7" s="18">
        <v>40909</v>
      </c>
      <c r="E7" s="19">
        <v>630</v>
      </c>
      <c r="F7" s="20">
        <v>440</v>
      </c>
      <c r="G7" s="19">
        <v>681</v>
      </c>
      <c r="H7" s="19">
        <v>1523</v>
      </c>
      <c r="I7" s="19">
        <f>tblSales[[#This Row],[售出件数（零售）]]+tblSales[[#This Row],[售出件数（批发）]]</f>
        <v>2204</v>
      </c>
      <c r="J7" s="21">
        <f>tblSales[[#This Row],[售出件数（零售）]]*tblSales[[#This Row],[单位零售价]]+tblSales[[#This Row],[售出件数（批发）]]*tblSales[[#This Row],[单位批发价*]]</f>
        <v>1099150</v>
      </c>
    </row>
    <row r="8" spans="2:10" ht="17.25" customHeight="1" x14ac:dyDescent="0.35">
      <c r="B8" s="16">
        <v>4</v>
      </c>
      <c r="C8" s="17" t="str">
        <f>IFERROR(IF(tblSales[[#This Row],[产品 ID]]&lt;&gt;"",VLOOKUP(tblSales[产品 ID],tblProducts[[产品 ID]:[名称]],2,FALSE),""),"未知产品 ID")</f>
        <v>水瓶</v>
      </c>
      <c r="D8" s="18">
        <v>40909</v>
      </c>
      <c r="E8" s="19">
        <v>350</v>
      </c>
      <c r="F8" s="20">
        <v>270</v>
      </c>
      <c r="G8" s="19">
        <v>602</v>
      </c>
      <c r="H8" s="19">
        <v>1822</v>
      </c>
      <c r="I8" s="19">
        <f>tblSales[[#This Row],[售出件数（零售）]]+tblSales[[#This Row],[售出件数（批发）]]</f>
        <v>2424</v>
      </c>
      <c r="J8" s="21">
        <f>tblSales[[#This Row],[售出件数（零售）]]*tblSales[[#This Row],[单位零售价]]+tblSales[[#This Row],[售出件数（批发）]]*tblSales[[#This Row],[单位批发价*]]</f>
        <v>702640</v>
      </c>
    </row>
    <row r="9" spans="2:10" ht="17.25" customHeight="1" x14ac:dyDescent="0.35">
      <c r="B9" s="16">
        <v>1</v>
      </c>
      <c r="C9" s="17" t="str">
        <f>IFERROR(IF(tblSales[[#This Row],[产品 ID]]&lt;&gt;"",VLOOKUP(tblSales[产品 ID],tblProducts[[产品 ID]:[名称]],2,FALSE),""),"未知产品 ID")</f>
        <v>衬衫</v>
      </c>
      <c r="D9" s="18">
        <v>40940</v>
      </c>
      <c r="E9" s="19">
        <v>550</v>
      </c>
      <c r="F9" s="20">
        <v>440</v>
      </c>
      <c r="G9" s="19">
        <v>678</v>
      </c>
      <c r="H9" s="19">
        <v>1515</v>
      </c>
      <c r="I9" s="19">
        <f>tblSales[[#This Row],[售出件数（零售）]]+tblSales[[#This Row],[售出件数（批发）]]</f>
        <v>2193</v>
      </c>
      <c r="J9" s="21">
        <f>tblSales[[#This Row],[售出件数（零售）]]*tblSales[[#This Row],[单位零售价]]+tblSales[[#This Row],[售出件数（批发）]]*tblSales[[#This Row],[单位批发价*]]</f>
        <v>1039500</v>
      </c>
    </row>
    <row r="10" spans="2:10" ht="17.25" customHeight="1" x14ac:dyDescent="0.35">
      <c r="B10" s="16">
        <v>2</v>
      </c>
      <c r="C10" s="17" t="str">
        <f>IFERROR(IF(tblSales[[#This Row],[产品 ID]]&lt;&gt;"",VLOOKUP(tblSales[产品 ID],tblProducts[[产品 ID]:[名称]],2,FALSE),""),"未知产品 ID")</f>
        <v>凉鞋</v>
      </c>
      <c r="D10" s="18">
        <v>40940</v>
      </c>
      <c r="E10" s="19">
        <v>830</v>
      </c>
      <c r="F10" s="20">
        <v>540</v>
      </c>
      <c r="G10" s="19">
        <v>753</v>
      </c>
      <c r="H10" s="19">
        <v>1005</v>
      </c>
      <c r="I10" s="19">
        <f>tblSales[[#This Row],[售出件数（零售）]]+tblSales[[#This Row],[售出件数（批发）]]</f>
        <v>1758</v>
      </c>
      <c r="J10" s="21">
        <f>tblSales[[#This Row],[售出件数（零售）]]*tblSales[[#This Row],[单位零售价]]+tblSales[[#This Row],[售出件数（批发）]]*tblSales[[#This Row],[单位批发价*]]</f>
        <v>1167690</v>
      </c>
    </row>
    <row r="11" spans="2:10" ht="17.25" customHeight="1" x14ac:dyDescent="0.35">
      <c r="B11" s="16">
        <v>3</v>
      </c>
      <c r="C11" s="17" t="str">
        <f>IFERROR(IF(tblSales[[#This Row],[产品 ID]]&lt;&gt;"",VLOOKUP(tblSales[产品 ID],tblProducts[[产品 ID]:[名称]],2,FALSE),""),"未知产品 ID")</f>
        <v>雨伞</v>
      </c>
      <c r="D11" s="18">
        <v>40940</v>
      </c>
      <c r="E11" s="19">
        <v>340</v>
      </c>
      <c r="F11" s="20">
        <v>340</v>
      </c>
      <c r="G11" s="19">
        <v>986</v>
      </c>
      <c r="H11" s="19">
        <v>1069</v>
      </c>
      <c r="I11" s="19">
        <f>tblSales[[#This Row],[售出件数（零售）]]+tblSales[[#This Row],[售出件数（批发）]]</f>
        <v>2055</v>
      </c>
      <c r="J11" s="21">
        <f>tblSales[[#This Row],[售出件数（零售）]]*tblSales[[#This Row],[单位零售价]]+tblSales[[#This Row],[售出件数（批发）]]*tblSales[[#This Row],[单位批发价*]]</f>
        <v>698700</v>
      </c>
    </row>
    <row r="12" spans="2:10" ht="17.25" customHeight="1" x14ac:dyDescent="0.35">
      <c r="B12" s="16">
        <v>4</v>
      </c>
      <c r="C12" s="17" t="str">
        <f>IFERROR(IF(tblSales[[#This Row],[产品 ID]]&lt;&gt;"",VLOOKUP(tblSales[产品 ID],tblProducts[[产品 ID]:[名称]],2,FALSE),""),"未知产品 ID")</f>
        <v>水瓶</v>
      </c>
      <c r="D12" s="18">
        <v>40940</v>
      </c>
      <c r="E12" s="19">
        <v>350</v>
      </c>
      <c r="F12" s="20">
        <v>250</v>
      </c>
      <c r="G12" s="19">
        <v>848</v>
      </c>
      <c r="H12" s="19">
        <v>1211</v>
      </c>
      <c r="I12" s="19">
        <f>tblSales[[#This Row],[售出件数（零售）]]+tblSales[[#This Row],[售出件数（批发）]]</f>
        <v>2059</v>
      </c>
      <c r="J12" s="21">
        <f>tblSales[[#This Row],[售出件数（零售）]]*tblSales[[#This Row],[单位零售价]]+tblSales[[#This Row],[售出件数（批发）]]*tblSales[[#This Row],[单位批发价*]]</f>
        <v>599550</v>
      </c>
    </row>
    <row r="13" spans="2:10" ht="17.25" customHeight="1" x14ac:dyDescent="0.35">
      <c r="B13" s="16">
        <v>5</v>
      </c>
      <c r="C13" s="17" t="str">
        <f>IFERROR(IF(tblSales[[#This Row],[产品 ID]]&lt;&gt;"",VLOOKUP(tblSales[产品 ID],tblProducts[[产品 ID]:[名称]],2,FALSE),""),"未知产品 ID")</f>
        <v>短裤</v>
      </c>
      <c r="D13" s="18">
        <v>40940</v>
      </c>
      <c r="E13" s="19">
        <v>410</v>
      </c>
      <c r="F13" s="20">
        <v>380</v>
      </c>
      <c r="G13" s="19">
        <v>980</v>
      </c>
      <c r="H13" s="19">
        <v>1330</v>
      </c>
      <c r="I13" s="19">
        <f>tblSales[[#This Row],[售出件数（零售）]]+tblSales[[#This Row],[售出件数（批发）]]</f>
        <v>2310</v>
      </c>
      <c r="J13" s="21">
        <f>tblSales[[#This Row],[售出件数（零售）]]*tblSales[[#This Row],[单位零售价]]+tblSales[[#This Row],[售出件数（批发）]]*tblSales[[#This Row],[单位批发价*]]</f>
        <v>907200</v>
      </c>
    </row>
    <row r="14" spans="2:10" ht="17.25" customHeight="1" x14ac:dyDescent="0.35">
      <c r="B14" s="16">
        <v>1</v>
      </c>
      <c r="C14" s="17" t="str">
        <f>IFERROR(IF(tblSales[[#This Row],[产品 ID]]&lt;&gt;"",VLOOKUP(tblSales[产品 ID],tblProducts[[产品 ID]:[名称]],2,FALSE),""),"未知产品 ID")</f>
        <v>衬衫</v>
      </c>
      <c r="D14" s="18">
        <v>40968</v>
      </c>
      <c r="E14" s="19">
        <v>270</v>
      </c>
      <c r="F14" s="20">
        <v>180</v>
      </c>
      <c r="G14" s="19">
        <v>533</v>
      </c>
      <c r="H14" s="19">
        <v>1936</v>
      </c>
      <c r="I14" s="19">
        <f>tblSales[[#This Row],[售出件数（零售）]]+tblSales[[#This Row],[售出件数（批发）]]</f>
        <v>2469</v>
      </c>
      <c r="J14" s="21">
        <f>tblSales[[#This Row],[售出件数（零售）]]*tblSales[[#This Row],[单位零售价]]+tblSales[[#This Row],[售出件数（批发）]]*tblSales[[#This Row],[单位批发价*]]</f>
        <v>492390</v>
      </c>
    </row>
    <row r="15" spans="2:10" ht="17.25" customHeight="1" x14ac:dyDescent="0.35">
      <c r="B15" s="16">
        <v>2</v>
      </c>
      <c r="C15" s="17" t="str">
        <f>IFERROR(IF(tblSales[[#This Row],[产品 ID]]&lt;&gt;"",VLOOKUP(tblSales[产品 ID],tblProducts[[产品 ID]:[名称]],2,FALSE),""),"未知产品 ID")</f>
        <v>凉鞋</v>
      </c>
      <c r="D15" s="18">
        <v>40968</v>
      </c>
      <c r="E15" s="19">
        <v>380</v>
      </c>
      <c r="F15" s="20">
        <v>280</v>
      </c>
      <c r="G15" s="19">
        <v>952</v>
      </c>
      <c r="H15" s="19">
        <v>1512</v>
      </c>
      <c r="I15" s="19">
        <f>tblSales[[#This Row],[售出件数（零售）]]+tblSales[[#This Row],[售出件数（批发）]]</f>
        <v>2464</v>
      </c>
      <c r="J15" s="21">
        <f>tblSales[[#This Row],[售出件数（零售）]]*tblSales[[#This Row],[单位零售价]]+tblSales[[#This Row],[售出件数（批发）]]*tblSales[[#This Row],[单位批发价*]]</f>
        <v>785120</v>
      </c>
    </row>
    <row r="16" spans="2:10" ht="17.25" customHeight="1" x14ac:dyDescent="0.35">
      <c r="B16" s="16">
        <v>3</v>
      </c>
      <c r="C16" s="17" t="str">
        <f>IFERROR(IF(tblSales[[#This Row],[产品 ID]]&lt;&gt;"",VLOOKUP(tblSales[产品 ID],tblProducts[[产品 ID]:[名称]],2,FALSE),""),"未知产品 ID")</f>
        <v>雨伞</v>
      </c>
      <c r="D16" s="18">
        <v>40968</v>
      </c>
      <c r="E16" s="19">
        <v>920</v>
      </c>
      <c r="F16" s="20">
        <v>920</v>
      </c>
      <c r="G16" s="19">
        <v>956</v>
      </c>
      <c r="H16" s="19">
        <v>1266</v>
      </c>
      <c r="I16" s="19">
        <f>tblSales[[#This Row],[售出件数（零售）]]+tblSales[[#This Row],[售出件数（批发）]]</f>
        <v>2222</v>
      </c>
      <c r="J16" s="21">
        <f>tblSales[[#This Row],[售出件数（零售）]]*tblSales[[#This Row],[单位零售价]]+tblSales[[#This Row],[售出件数（批发）]]*tblSales[[#This Row],[单位批发价*]]</f>
        <v>2044240</v>
      </c>
    </row>
    <row r="17" spans="2:10" ht="17.25" customHeight="1" x14ac:dyDescent="0.35">
      <c r="B17" s="16">
        <v>4</v>
      </c>
      <c r="C17" s="17" t="str">
        <f>IFERROR(IF(tblSales[[#This Row],[产品 ID]]&lt;&gt;"",VLOOKUP(tblSales[产品 ID],tblProducts[[产品 ID]:[名称]],2,FALSE),""),"未知产品 ID")</f>
        <v>水瓶</v>
      </c>
      <c r="D17" s="18">
        <v>40968</v>
      </c>
      <c r="E17" s="19">
        <v>430</v>
      </c>
      <c r="F17" s="20">
        <v>360</v>
      </c>
      <c r="G17" s="19">
        <v>952</v>
      </c>
      <c r="H17" s="19">
        <v>1390</v>
      </c>
      <c r="I17" s="19">
        <f>tblSales[[#This Row],[售出件数（零售）]]+tblSales[[#This Row],[售出件数（批发）]]</f>
        <v>2342</v>
      </c>
      <c r="J17" s="21">
        <f>tblSales[[#This Row],[售出件数（零售）]]*tblSales[[#This Row],[单位零售价]]+tblSales[[#This Row],[售出件数（批发）]]*tblSales[[#This Row],[单位批发价*]]</f>
        <v>909760</v>
      </c>
    </row>
    <row r="18" spans="2:10" ht="17.25" customHeight="1" x14ac:dyDescent="0.35">
      <c r="B18" s="16">
        <v>5</v>
      </c>
      <c r="C18" s="17" t="str">
        <f>IFERROR(IF(tblSales[[#This Row],[产品 ID]]&lt;&gt;"",VLOOKUP(tblSales[产品 ID],tblProducts[[产品 ID]:[名称]],2,FALSE),""),"未知产品 ID")</f>
        <v>短裤</v>
      </c>
      <c r="D18" s="18">
        <v>40968</v>
      </c>
      <c r="E18" s="19">
        <v>980</v>
      </c>
      <c r="F18" s="20">
        <v>730</v>
      </c>
      <c r="G18" s="19">
        <v>530</v>
      </c>
      <c r="H18" s="19">
        <v>1452</v>
      </c>
      <c r="I18" s="19">
        <f>tblSales[[#This Row],[售出件数（零售）]]+tblSales[[#This Row],[售出件数（批发）]]</f>
        <v>1982</v>
      </c>
      <c r="J18" s="21">
        <f>tblSales[[#This Row],[售出件数（零售）]]*tblSales[[#This Row],[单位零售价]]+tblSales[[#This Row],[售出件数（批发）]]*tblSales[[#This Row],[单位批发价*]]</f>
        <v>1579360</v>
      </c>
    </row>
    <row r="19" spans="2:10" ht="17.25" customHeight="1" x14ac:dyDescent="0.35">
      <c r="B19" s="16">
        <v>1</v>
      </c>
      <c r="C19" s="17" t="str">
        <f>IFERROR(IF(tblSales[[#This Row],[产品 ID]]&lt;&gt;"",VLOOKUP(tblSales[产品 ID],tblProducts[[产品 ID]:[名称]],2,FALSE),""),"未知产品 ID")</f>
        <v>衬衫</v>
      </c>
      <c r="D19" s="18">
        <v>40999</v>
      </c>
      <c r="E19" s="19">
        <v>380</v>
      </c>
      <c r="F19" s="20">
        <v>280</v>
      </c>
      <c r="G19" s="19">
        <v>973</v>
      </c>
      <c r="H19" s="19">
        <v>1415</v>
      </c>
      <c r="I19" s="19">
        <f>tblSales[[#This Row],[售出件数（零售）]]+tblSales[[#This Row],[售出件数（批发）]]</f>
        <v>2388</v>
      </c>
      <c r="J19" s="21">
        <f>tblSales[[#This Row],[售出件数（零售）]]*tblSales[[#This Row],[单位零售价]]+tblSales[[#This Row],[售出件数（批发）]]*tblSales[[#This Row],[单位批发价*]]</f>
        <v>765940</v>
      </c>
    </row>
    <row r="20" spans="2:10" ht="17.25" customHeight="1" x14ac:dyDescent="0.35">
      <c r="B20" s="16">
        <v>2</v>
      </c>
      <c r="C20" s="17" t="str">
        <f>IFERROR(IF(tblSales[[#This Row],[产品 ID]]&lt;&gt;"",VLOOKUP(tblSales[产品 ID],tblProducts[[产品 ID]:[名称]],2,FALSE),""),"未知产品 ID")</f>
        <v>凉鞋</v>
      </c>
      <c r="D20" s="18">
        <v>40999</v>
      </c>
      <c r="E20" s="19">
        <v>500</v>
      </c>
      <c r="F20" s="20">
        <v>360</v>
      </c>
      <c r="G20" s="19">
        <v>672</v>
      </c>
      <c r="H20" s="19">
        <v>1105</v>
      </c>
      <c r="I20" s="19">
        <f>tblSales[[#This Row],[售出件数（零售）]]+tblSales[[#This Row],[售出件数（批发）]]</f>
        <v>1777</v>
      </c>
      <c r="J20" s="21">
        <f>tblSales[[#This Row],[售出件数（零售）]]*tblSales[[#This Row],[单位零售价]]+tblSales[[#This Row],[售出件数（批发）]]*tblSales[[#This Row],[单位批发价*]]</f>
        <v>733800</v>
      </c>
    </row>
    <row r="21" spans="2:10" ht="17.25" customHeight="1" x14ac:dyDescent="0.35">
      <c r="B21" s="16">
        <v>3</v>
      </c>
      <c r="C21" s="17" t="str">
        <f>IFERROR(IF(tblSales[[#This Row],[产品 ID]]&lt;&gt;"",VLOOKUP(tblSales[产品 ID],tblProducts[[产品 ID]:[名称]],2,FALSE),""),"未知产品 ID")</f>
        <v>雨伞</v>
      </c>
      <c r="D21" s="18">
        <v>40999</v>
      </c>
      <c r="E21" s="19">
        <v>240</v>
      </c>
      <c r="F21" s="20">
        <v>230</v>
      </c>
      <c r="G21" s="19">
        <v>769</v>
      </c>
      <c r="H21" s="19">
        <v>1629</v>
      </c>
      <c r="I21" s="19">
        <f>tblSales[[#This Row],[售出件数（零售）]]+tblSales[[#This Row],[售出件数（批发）]]</f>
        <v>2398</v>
      </c>
      <c r="J21" s="21">
        <f>tblSales[[#This Row],[售出件数（零售）]]*tblSales[[#This Row],[单位零售价]]+tblSales[[#This Row],[售出件数（批发）]]*tblSales[[#This Row],[单位批发价*]]</f>
        <v>559230</v>
      </c>
    </row>
    <row r="22" spans="2:10" ht="17.25" customHeight="1" x14ac:dyDescent="0.35">
      <c r="B22" s="16">
        <v>4</v>
      </c>
      <c r="C22" s="17" t="str">
        <f>IFERROR(IF(tblSales[[#This Row],[产品 ID]]&lt;&gt;"",VLOOKUP(tblSales[产品 ID],tblProducts[[产品 ID]:[名称]],2,FALSE),""),"未知产品 ID")</f>
        <v>水瓶</v>
      </c>
      <c r="D22" s="18">
        <v>40999</v>
      </c>
      <c r="E22" s="19">
        <v>720</v>
      </c>
      <c r="F22" s="20">
        <v>570</v>
      </c>
      <c r="G22" s="19">
        <v>985</v>
      </c>
      <c r="H22" s="19">
        <v>1848</v>
      </c>
      <c r="I22" s="19">
        <f>tblSales[[#This Row],[售出件数（零售）]]+tblSales[[#This Row],[售出件数（批发）]]</f>
        <v>2833</v>
      </c>
      <c r="J22" s="21">
        <f>tblSales[[#This Row],[售出件数（零售）]]*tblSales[[#This Row],[单位零售价]]+tblSales[[#This Row],[售出件数（批发）]]*tblSales[[#This Row],[单位批发价*]]</f>
        <v>1762560</v>
      </c>
    </row>
    <row r="23" spans="2:10" ht="17.25" customHeight="1" x14ac:dyDescent="0.35">
      <c r="B23" s="16">
        <v>5</v>
      </c>
      <c r="C23" s="17" t="str">
        <f>IFERROR(IF(tblSales[[#This Row],[产品 ID]]&lt;&gt;"",VLOOKUP(tblSales[产品 ID],tblProducts[[产品 ID]:[名称]],2,FALSE),""),"未知产品 ID")</f>
        <v>短裤</v>
      </c>
      <c r="D23" s="18">
        <v>40999</v>
      </c>
      <c r="E23" s="19">
        <v>850</v>
      </c>
      <c r="F23" s="20">
        <v>430</v>
      </c>
      <c r="G23" s="19">
        <v>721</v>
      </c>
      <c r="H23" s="19">
        <v>1426</v>
      </c>
      <c r="I23" s="19">
        <f>tblSales[[#This Row],[售出件数（零售）]]+tblSales[[#This Row],[售出件数（批发）]]</f>
        <v>2147</v>
      </c>
      <c r="J23" s="21">
        <f>tblSales[[#This Row],[售出件数（零售）]]*tblSales[[#This Row],[单位零售价]]+tblSales[[#This Row],[售出件数（批发）]]*tblSales[[#This Row],[单位批发价*]]</f>
        <v>1226030</v>
      </c>
    </row>
    <row r="24" spans="2:10" ht="17.25" customHeight="1" x14ac:dyDescent="0.35">
      <c r="B24" s="16">
        <v>1</v>
      </c>
      <c r="C24" s="17" t="str">
        <f>IFERROR(IF(tblSales[[#This Row],[产品 ID]]&lt;&gt;"",VLOOKUP(tblSales[产品 ID],tblProducts[[产品 ID]:[名称]],2,FALSE),""),"未知产品 ID")</f>
        <v>衬衫</v>
      </c>
      <c r="D24" s="18">
        <v>41029</v>
      </c>
      <c r="E24" s="19">
        <v>910</v>
      </c>
      <c r="F24" s="20">
        <v>650</v>
      </c>
      <c r="G24" s="19">
        <v>603</v>
      </c>
      <c r="H24" s="19">
        <v>1226</v>
      </c>
      <c r="I24" s="19">
        <f>tblSales[[#This Row],[售出件数（零售）]]+tblSales[[#This Row],[售出件数（批发）]]</f>
        <v>1829</v>
      </c>
      <c r="J24" s="21">
        <f>tblSales[[#This Row],[售出件数（零售）]]*tblSales[[#This Row],[单位零售价]]+tblSales[[#This Row],[售出件数（批发）]]*tblSales[[#This Row],[单位批发价*]]</f>
        <v>1345630</v>
      </c>
    </row>
    <row r="25" spans="2:10" ht="17.25" customHeight="1" x14ac:dyDescent="0.35">
      <c r="B25" s="16">
        <v>2</v>
      </c>
      <c r="C25" s="17" t="str">
        <f>IFERROR(IF(tblSales[[#This Row],[产品 ID]]&lt;&gt;"",VLOOKUP(tblSales[产品 ID],tblProducts[[产品 ID]:[名称]],2,FALSE),""),"未知产品 ID")</f>
        <v>凉鞋</v>
      </c>
      <c r="D25" s="18">
        <v>41029</v>
      </c>
      <c r="E25" s="19">
        <v>910</v>
      </c>
      <c r="F25" s="20">
        <v>550</v>
      </c>
      <c r="G25" s="19">
        <v>892</v>
      </c>
      <c r="H25" s="19">
        <v>1823</v>
      </c>
      <c r="I25" s="19">
        <f>tblSales[[#This Row],[售出件数（零售）]]+tblSales[[#This Row],[售出件数（批发）]]</f>
        <v>2715</v>
      </c>
      <c r="J25" s="21">
        <f>tblSales[[#This Row],[售出件数（零售）]]*tblSales[[#This Row],[单位零售价]]+tblSales[[#This Row],[售出件数（批发）]]*tblSales[[#This Row],[单位批发价*]]</f>
        <v>1814370</v>
      </c>
    </row>
    <row r="26" spans="2:10" ht="17.25" customHeight="1" x14ac:dyDescent="0.35">
      <c r="B26" s="16">
        <v>3</v>
      </c>
      <c r="C26" s="17" t="str">
        <f>IFERROR(IF(tblSales[[#This Row],[产品 ID]]&lt;&gt;"",VLOOKUP(tblSales[产品 ID],tblProducts[[产品 ID]:[名称]],2,FALSE),""),"未知产品 ID")</f>
        <v>雨伞</v>
      </c>
      <c r="D26" s="18">
        <v>41029</v>
      </c>
      <c r="E26" s="19">
        <v>420</v>
      </c>
      <c r="F26" s="20">
        <v>420</v>
      </c>
      <c r="G26" s="19">
        <v>611</v>
      </c>
      <c r="H26" s="19">
        <v>1181</v>
      </c>
      <c r="I26" s="19">
        <f>tblSales[[#This Row],[售出件数（零售）]]+tblSales[[#This Row],[售出件数（批发）]]</f>
        <v>1792</v>
      </c>
      <c r="J26" s="21">
        <f>tblSales[[#This Row],[售出件数（零售）]]*tblSales[[#This Row],[单位零售价]]+tblSales[[#This Row],[售出件数（批发）]]*tblSales[[#This Row],[单位批发价*]]</f>
        <v>752640</v>
      </c>
    </row>
    <row r="27" spans="2:10" ht="17.25" customHeight="1" x14ac:dyDescent="0.35">
      <c r="B27" s="16">
        <v>4</v>
      </c>
      <c r="C27" s="17" t="str">
        <f>IFERROR(IF(tblSales[[#This Row],[产品 ID]]&lt;&gt;"",VLOOKUP(tblSales[产品 ID],tblProducts[[产品 ID]:[名称]],2,FALSE),""),"未知产品 ID")</f>
        <v>水瓶</v>
      </c>
      <c r="D27" s="18">
        <v>41029</v>
      </c>
      <c r="E27" s="19">
        <v>850</v>
      </c>
      <c r="F27" s="20">
        <v>430</v>
      </c>
      <c r="G27" s="19">
        <v>530</v>
      </c>
      <c r="H27" s="19">
        <v>1039</v>
      </c>
      <c r="I27" s="19">
        <f>tblSales[[#This Row],[售出件数（零售）]]+tblSales[[#This Row],[售出件数（批发）]]</f>
        <v>1569</v>
      </c>
      <c r="J27" s="21">
        <f>tblSales[[#This Row],[售出件数（零售）]]*tblSales[[#This Row],[单位零售价]]+tblSales[[#This Row],[售出件数（批发）]]*tblSales[[#This Row],[单位批发价*]]</f>
        <v>897270</v>
      </c>
    </row>
    <row r="28" spans="2:10" ht="17.25" customHeight="1" x14ac:dyDescent="0.35">
      <c r="B28" s="16">
        <v>5</v>
      </c>
      <c r="C28" s="17" t="str">
        <f>IFERROR(IF(tblSales[[#This Row],[产品 ID]]&lt;&gt;"",VLOOKUP(tblSales[产品 ID],tblProducts[[产品 ID]:[名称]],2,FALSE),""),"未知产品 ID")</f>
        <v>短裤</v>
      </c>
      <c r="D28" s="18">
        <v>41029</v>
      </c>
      <c r="E28" s="19">
        <v>820</v>
      </c>
      <c r="F28" s="20">
        <v>710</v>
      </c>
      <c r="G28" s="19">
        <v>716</v>
      </c>
      <c r="H28" s="19">
        <v>1249</v>
      </c>
      <c r="I28" s="19">
        <f>tblSales[[#This Row],[售出件数（零售）]]+tblSales[[#This Row],[售出件数（批发）]]</f>
        <v>1965</v>
      </c>
      <c r="J28" s="21">
        <f>tblSales[[#This Row],[售出件数（零售）]]*tblSales[[#This Row],[单位零售价]]+tblSales[[#This Row],[售出件数（批发）]]*tblSales[[#This Row],[单位批发价*]]</f>
        <v>1473910</v>
      </c>
    </row>
    <row r="29" spans="2:10" ht="17.25" customHeight="1" x14ac:dyDescent="0.35">
      <c r="B29" s="16">
        <v>1</v>
      </c>
      <c r="C29" s="17" t="str">
        <f>IFERROR(IF(tblSales[[#This Row],[产品 ID]]&lt;&gt;"",VLOOKUP(tblSales[产品 ID],tblProducts[[产品 ID]:[名称]],2,FALSE),""),"未知产品 ID")</f>
        <v>衬衫</v>
      </c>
      <c r="D29" s="18">
        <v>41043</v>
      </c>
      <c r="E29" s="19">
        <v>340</v>
      </c>
      <c r="F29" s="20">
        <v>310</v>
      </c>
      <c r="G29" s="19">
        <v>850</v>
      </c>
      <c r="H29" s="19">
        <v>1548</v>
      </c>
      <c r="I29" s="19">
        <f>tblSales[[#This Row],[售出件数（零售）]]+tblSales[[#This Row],[售出件数（批发）]]</f>
        <v>2398</v>
      </c>
      <c r="J29" s="21">
        <f>tblSales[[#This Row],[售出件数（零售）]]*tblSales[[#This Row],[单位零售价]]+tblSales[[#This Row],[售出件数（批发）]]*tblSales[[#This Row],[单位批发价*]]</f>
        <v>768880</v>
      </c>
    </row>
    <row r="30" spans="2:10" ht="17.25" customHeight="1" x14ac:dyDescent="0.35">
      <c r="B30" s="16">
        <v>2</v>
      </c>
      <c r="C30" s="17" t="str">
        <f>IFERROR(IF(tblSales[[#This Row],[产品 ID]]&lt;&gt;"",VLOOKUP(tblSales[产品 ID],tblProducts[[产品 ID]:[名称]],2,FALSE),""),"未知产品 ID")</f>
        <v>凉鞋</v>
      </c>
      <c r="D30" s="18">
        <v>41043</v>
      </c>
      <c r="E30" s="19">
        <v>640</v>
      </c>
      <c r="F30" s="20">
        <v>400</v>
      </c>
      <c r="G30" s="19">
        <v>876</v>
      </c>
      <c r="H30" s="19">
        <v>1663</v>
      </c>
      <c r="I30" s="19">
        <f>tblSales[[#This Row],[售出件数（零售）]]+tblSales[[#This Row],[售出件数（批发）]]</f>
        <v>2539</v>
      </c>
      <c r="J30" s="21">
        <f>tblSales[[#This Row],[售出件数（零售）]]*tblSales[[#This Row],[单位零售价]]+tblSales[[#This Row],[售出件数（批发）]]*tblSales[[#This Row],[单位批发价*]]</f>
        <v>1225840</v>
      </c>
    </row>
    <row r="31" spans="2:10" ht="17.25" customHeight="1" x14ac:dyDescent="0.35">
      <c r="B31" s="16">
        <v>3</v>
      </c>
      <c r="C31" s="17" t="str">
        <f>IFERROR(IF(tblSales[[#This Row],[产品 ID]]&lt;&gt;"",VLOOKUP(tblSales[产品 ID],tblProducts[[产品 ID]:[名称]],2,FALSE),""),"未知产品 ID")</f>
        <v>雨伞</v>
      </c>
      <c r="D31" s="18">
        <v>41043</v>
      </c>
      <c r="E31" s="19">
        <v>330</v>
      </c>
      <c r="F31" s="20">
        <v>300</v>
      </c>
      <c r="G31" s="19">
        <v>881</v>
      </c>
      <c r="H31" s="19">
        <v>1149</v>
      </c>
      <c r="I31" s="19">
        <f>tblSales[[#This Row],[售出件数（零售）]]+tblSales[[#This Row],[售出件数（批发）]]</f>
        <v>2030</v>
      </c>
      <c r="J31" s="21">
        <f>tblSales[[#This Row],[售出件数（零售）]]*tblSales[[#This Row],[单位零售价]]+tblSales[[#This Row],[售出件数（批发）]]*tblSales[[#This Row],[单位批发价*]]</f>
        <v>635430</v>
      </c>
    </row>
    <row r="32" spans="2:10" ht="17.25" customHeight="1" x14ac:dyDescent="0.35">
      <c r="B32" s="16">
        <v>4</v>
      </c>
      <c r="C32" s="17" t="str">
        <f>IFERROR(IF(tblSales[[#This Row],[产品 ID]]&lt;&gt;"",VLOOKUP(tblSales[产品 ID],tblProducts[[产品 ID]:[名称]],2,FALSE),""),"未知产品 ID")</f>
        <v>水瓶</v>
      </c>
      <c r="D32" s="18">
        <v>41043</v>
      </c>
      <c r="E32" s="19">
        <v>290</v>
      </c>
      <c r="F32" s="20">
        <v>270</v>
      </c>
      <c r="G32" s="19">
        <v>802</v>
      </c>
      <c r="H32" s="19">
        <v>1548</v>
      </c>
      <c r="I32" s="19">
        <f>tblSales[[#This Row],[售出件数（零售）]]+tblSales[[#This Row],[售出件数（批发）]]</f>
        <v>2350</v>
      </c>
      <c r="J32" s="21">
        <f>tblSales[[#This Row],[售出件数（零售）]]*tblSales[[#This Row],[单位零售价]]+tblSales[[#This Row],[售出件数（批发）]]*tblSales[[#This Row],[单位批发价*]]</f>
        <v>650540</v>
      </c>
    </row>
    <row r="33" spans="2:10" ht="17.25" customHeight="1" x14ac:dyDescent="0.35">
      <c r="B33" s="16">
        <v>5</v>
      </c>
      <c r="C33" s="17" t="str">
        <f>IFERROR(IF(tblSales[[#This Row],[产品 ID]]&lt;&gt;"",VLOOKUP(tblSales[产品 ID],tblProducts[[产品 ID]:[名称]],2,FALSE),""),"未知产品 ID")</f>
        <v>短裤</v>
      </c>
      <c r="D33" s="18">
        <v>41619</v>
      </c>
      <c r="E33" s="19">
        <v>240</v>
      </c>
      <c r="F33" s="20">
        <v>150</v>
      </c>
      <c r="G33" s="19">
        <v>824</v>
      </c>
      <c r="H33" s="19">
        <v>1994</v>
      </c>
      <c r="I33" s="19">
        <f>tblSales[[#This Row],[售出件数（零售）]]+tblSales[[#This Row],[售出件数（批发）]]</f>
        <v>2818</v>
      </c>
      <c r="J33" s="21">
        <f>tblSales[[#This Row],[售出件数（零售）]]*tblSales[[#This Row],[单位零售价]]+tblSales[[#This Row],[售出件数（批发）]]*tblSales[[#This Row],[单位批发价*]]</f>
        <v>496860</v>
      </c>
    </row>
  </sheetData>
  <phoneticPr fontId="8" type="noConversion"/>
  <printOptions horizontalCentered="1"/>
  <pageMargins left="0.45" right="0.45" top="0.5" bottom="0.5" header="0.3" footer="0.3"/>
  <pageSetup scale="61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59999389629810485"/>
    <pageSetUpPr fitToPage="1"/>
  </sheetPr>
  <dimension ref="B1:F18"/>
  <sheetViews>
    <sheetView showGridLines="0" zoomScaleNormal="100" workbookViewId="0">
      <selection activeCell="I15" sqref="I15"/>
    </sheetView>
  </sheetViews>
  <sheetFormatPr defaultRowHeight="32.25" customHeight="1" x14ac:dyDescent="0.35"/>
  <cols>
    <col min="1" max="1" width="3.5703125" style="15" customWidth="1"/>
    <col min="2" max="2" width="12.140625" style="15" customWidth="1"/>
    <col min="3" max="3" width="19.7109375" style="15" customWidth="1"/>
    <col min="4" max="4" width="54" style="15" customWidth="1"/>
    <col min="5" max="6" width="21" style="15" customWidth="1"/>
    <col min="7" max="7" width="3.5703125" style="15" customWidth="1"/>
    <col min="8" max="16384" width="9.140625" style="15"/>
  </cols>
  <sheetData>
    <row r="1" spans="2:6" s="9" customFormat="1" ht="47.25" customHeight="1" x14ac:dyDescent="0.5">
      <c r="B1" s="8" t="s">
        <v>7</v>
      </c>
    </row>
    <row r="2" spans="2:6" ht="15" customHeight="1" x14ac:dyDescent="0.35"/>
    <row r="3" spans="2:6" ht="15" customHeight="1" x14ac:dyDescent="0.35">
      <c r="B3" s="22" t="s">
        <v>8</v>
      </c>
    </row>
    <row r="4" spans="2:6" ht="15" customHeight="1" x14ac:dyDescent="0.35">
      <c r="B4" s="15" t="s">
        <v>0</v>
      </c>
    </row>
    <row r="5" spans="2:6" ht="15" customHeight="1" x14ac:dyDescent="0.35">
      <c r="B5" s="15" t="s">
        <v>9</v>
      </c>
    </row>
    <row r="6" spans="2:6" ht="15" customHeight="1" x14ac:dyDescent="0.35">
      <c r="B6" s="15" t="s">
        <v>10</v>
      </c>
    </row>
    <row r="7" spans="2:6" ht="15" customHeight="1" x14ac:dyDescent="0.35">
      <c r="B7" s="15" t="s">
        <v>11</v>
      </c>
    </row>
    <row r="8" spans="2:6" ht="15" customHeight="1" x14ac:dyDescent="0.35">
      <c r="B8" s="23" t="s">
        <v>1</v>
      </c>
      <c r="F8" s="24" t="s">
        <v>17</v>
      </c>
    </row>
    <row r="9" spans="2:6" ht="15" customHeight="1" x14ac:dyDescent="0.35"/>
    <row r="10" spans="2:6" ht="19.5" customHeight="1" x14ac:dyDescent="0.35">
      <c r="B10" s="25" t="s">
        <v>12</v>
      </c>
      <c r="C10" s="25" t="s">
        <v>13</v>
      </c>
      <c r="D10" s="25" t="s">
        <v>14</v>
      </c>
      <c r="E10" s="26" t="s">
        <v>15</v>
      </c>
      <c r="F10" s="27" t="s">
        <v>16</v>
      </c>
    </row>
    <row r="11" spans="2:6" ht="32.25" customHeight="1" x14ac:dyDescent="0.35">
      <c r="B11" s="27">
        <v>1</v>
      </c>
      <c r="C11" s="25" t="s">
        <v>18</v>
      </c>
      <c r="D11" s="28" t="s">
        <v>19</v>
      </c>
      <c r="E11" s="29">
        <v>220</v>
      </c>
      <c r="F11" s="30">
        <v>150</v>
      </c>
    </row>
    <row r="12" spans="2:6" ht="32.25" customHeight="1" x14ac:dyDescent="0.35">
      <c r="B12" s="27">
        <v>2</v>
      </c>
      <c r="C12" s="25" t="s">
        <v>20</v>
      </c>
      <c r="D12" s="28" t="s">
        <v>21</v>
      </c>
      <c r="E12" s="31">
        <v>100</v>
      </c>
      <c r="F12" s="30">
        <v>60</v>
      </c>
    </row>
    <row r="13" spans="2:6" ht="32.25" customHeight="1" x14ac:dyDescent="0.35">
      <c r="B13" s="27">
        <v>3</v>
      </c>
      <c r="C13" s="25" t="s">
        <v>22</v>
      </c>
      <c r="D13" s="28" t="s">
        <v>23</v>
      </c>
      <c r="E13" s="31">
        <v>300</v>
      </c>
      <c r="F13" s="30">
        <v>200</v>
      </c>
    </row>
    <row r="14" spans="2:6" ht="32.25" customHeight="1" x14ac:dyDescent="0.35">
      <c r="B14" s="27">
        <v>4</v>
      </c>
      <c r="C14" s="25" t="s">
        <v>24</v>
      </c>
      <c r="D14" s="28" t="s">
        <v>25</v>
      </c>
      <c r="E14" s="31">
        <v>70</v>
      </c>
      <c r="F14" s="30">
        <v>50</v>
      </c>
    </row>
    <row r="15" spans="2:6" ht="32.25" customHeight="1" x14ac:dyDescent="0.35">
      <c r="B15" s="27">
        <v>5</v>
      </c>
      <c r="C15" s="25" t="s">
        <v>26</v>
      </c>
      <c r="D15" s="28" t="s">
        <v>27</v>
      </c>
      <c r="E15" s="31">
        <v>150</v>
      </c>
      <c r="F15" s="30">
        <v>80</v>
      </c>
    </row>
    <row r="16" spans="2:6" ht="32.25" customHeight="1" x14ac:dyDescent="0.35">
      <c r="B16" s="41"/>
      <c r="C16" s="41"/>
      <c r="D16" s="41"/>
      <c r="E16" s="41"/>
      <c r="F16" s="41"/>
    </row>
    <row r="17" spans="5:6" ht="32.25" customHeight="1" x14ac:dyDescent="0.35">
      <c r="F17" s="24" t="s">
        <v>28</v>
      </c>
    </row>
    <row r="18" spans="5:6" ht="32.25" customHeight="1" x14ac:dyDescent="0.35">
      <c r="E18" s="32"/>
      <c r="F18" s="33" t="s">
        <v>29</v>
      </c>
    </row>
  </sheetData>
  <mergeCells count="1">
    <mergeCell ref="B16:F16"/>
  </mergeCells>
  <phoneticPr fontId="8" type="noConversion"/>
  <hyperlinks>
    <hyperlink ref="B8" r:id="rId1"/>
  </hyperlinks>
  <printOptions horizontalCentered="1"/>
  <pageMargins left="0.45" right="0.45" top="0.5" bottom="0.5" header="0.3" footer="0.3"/>
  <pageSetup scale="75" fitToHeight="0" orientation="portrait" r:id="rId2"/>
  <headerFooter differentFirst="1">
    <oddFooter>&amp;CPage &amp;P of &amp;N</oddFooter>
  </headerFooter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H21"/>
  <sheetViews>
    <sheetView showGridLines="0" workbookViewId="0">
      <selection activeCell="C4" sqref="C4"/>
    </sheetView>
  </sheetViews>
  <sheetFormatPr defaultRowHeight="16.5" x14ac:dyDescent="0.35"/>
  <cols>
    <col min="1" max="1" width="3.5703125" style="15" customWidth="1"/>
    <col min="2" max="2" width="19" style="15" customWidth="1"/>
    <col min="3" max="3" width="13.42578125" style="15" customWidth="1"/>
    <col min="4" max="4" width="22" style="15" customWidth="1"/>
    <col min="5" max="5" width="7.7109375" style="15" customWidth="1"/>
    <col min="6" max="6" width="27.85546875" style="15" customWidth="1"/>
    <col min="7" max="7" width="17" style="15" customWidth="1"/>
    <col min="8" max="9" width="13" style="15" customWidth="1"/>
    <col min="10" max="10" width="5.7109375" style="15" customWidth="1"/>
    <col min="11" max="26" width="5" style="15" customWidth="1"/>
    <col min="27" max="27" width="11.28515625" style="15" bestFit="1" customWidth="1"/>
    <col min="28" max="16384" width="9.140625" style="15"/>
  </cols>
  <sheetData>
    <row r="1" spans="2:4" s="9" customFormat="1" ht="47.25" customHeight="1" x14ac:dyDescent="0.5">
      <c r="B1" s="8" t="s">
        <v>40</v>
      </c>
      <c r="C1" s="37"/>
      <c r="D1" s="37"/>
    </row>
    <row r="2" spans="2:4" ht="48.75" customHeight="1" x14ac:dyDescent="0.35">
      <c r="B2" s="42" t="s">
        <v>39</v>
      </c>
      <c r="C2" s="42"/>
      <c r="D2" s="42"/>
    </row>
    <row r="3" spans="2:4" ht="23.25" customHeight="1" x14ac:dyDescent="0.35">
      <c r="B3" s="38" t="s">
        <v>41</v>
      </c>
      <c r="C3" s="38" t="str">
        <f>IF(LEN(B5),B5,"无")</f>
        <v>凉鞋</v>
      </c>
      <c r="D3" s="39"/>
    </row>
    <row r="4" spans="2:4" x14ac:dyDescent="0.35">
      <c r="B4" s="35" t="s">
        <v>30</v>
      </c>
      <c r="C4" s="35" t="s">
        <v>15</v>
      </c>
      <c r="D4" s="15" t="s">
        <v>37</v>
      </c>
    </row>
    <row r="5" spans="2:4" x14ac:dyDescent="0.35">
      <c r="B5" s="15" t="s">
        <v>20</v>
      </c>
      <c r="C5" s="40">
        <v>380</v>
      </c>
      <c r="D5" s="36">
        <v>2464</v>
      </c>
    </row>
    <row r="6" spans="2:4" x14ac:dyDescent="0.35">
      <c r="C6" s="40">
        <v>500</v>
      </c>
      <c r="D6" s="36">
        <v>1777</v>
      </c>
    </row>
    <row r="7" spans="2:4" x14ac:dyDescent="0.35">
      <c r="C7" s="40">
        <v>640</v>
      </c>
      <c r="D7" s="36">
        <v>2539</v>
      </c>
    </row>
    <row r="8" spans="2:4" x14ac:dyDescent="0.35">
      <c r="C8" s="40">
        <v>700</v>
      </c>
      <c r="D8" s="36">
        <v>1787</v>
      </c>
    </row>
    <row r="9" spans="2:4" x14ac:dyDescent="0.35">
      <c r="C9" s="40">
        <v>830</v>
      </c>
      <c r="D9" s="36">
        <v>1758</v>
      </c>
    </row>
    <row r="10" spans="2:4" x14ac:dyDescent="0.35">
      <c r="C10" s="40">
        <v>910</v>
      </c>
      <c r="D10" s="36">
        <v>2715</v>
      </c>
    </row>
    <row r="17" spans="8:8" x14ac:dyDescent="0.35">
      <c r="H17" s="25"/>
    </row>
    <row r="18" spans="8:8" x14ac:dyDescent="0.35">
      <c r="H18" s="25"/>
    </row>
    <row r="19" spans="8:8" x14ac:dyDescent="0.35">
      <c r="H19" s="25"/>
    </row>
    <row r="20" spans="8:8" x14ac:dyDescent="0.35">
      <c r="H20" s="25"/>
    </row>
    <row r="21" spans="8:8" x14ac:dyDescent="0.35">
      <c r="H21" s="25"/>
    </row>
  </sheetData>
  <mergeCells count="1">
    <mergeCell ref="B2:D2"/>
  </mergeCells>
  <phoneticPr fontId="8" type="noConversion"/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G9"/>
  <sheetViews>
    <sheetView showGridLines="0" workbookViewId="0">
      <selection activeCell="E29" sqref="A1:XFD1048576"/>
    </sheetView>
  </sheetViews>
  <sheetFormatPr defaultRowHeight="16.5" x14ac:dyDescent="0.35"/>
  <cols>
    <col min="1" max="1" width="3.5703125" style="15" customWidth="1"/>
    <col min="2" max="2" width="22.140625" style="15" customWidth="1"/>
    <col min="3" max="3" width="11.42578125" style="15" customWidth="1"/>
    <col min="4" max="7" width="5.7109375" style="15" customWidth="1"/>
    <col min="8" max="8" width="11.28515625" style="15" customWidth="1"/>
    <col min="9" max="9" width="11.28515625" style="15" bestFit="1" customWidth="1"/>
    <col min="10" max="26" width="5" style="15" customWidth="1"/>
    <col min="27" max="27" width="11.28515625" style="15" bestFit="1" customWidth="1"/>
    <col min="28" max="16384" width="9.140625" style="15"/>
  </cols>
  <sheetData>
    <row r="1" spans="2:7" s="9" customFormat="1" ht="47.25" customHeight="1" x14ac:dyDescent="0.5">
      <c r="B1" s="8" t="s">
        <v>38</v>
      </c>
    </row>
    <row r="2" spans="2:7" ht="48.75" customHeight="1" x14ac:dyDescent="0.35">
      <c r="B2" s="42" t="s">
        <v>39</v>
      </c>
      <c r="C2" s="42"/>
      <c r="D2" s="42"/>
      <c r="E2" s="34"/>
      <c r="F2" s="34"/>
      <c r="G2" s="34"/>
    </row>
    <row r="3" spans="2:7" x14ac:dyDescent="0.35">
      <c r="B3" s="35" t="s">
        <v>37</v>
      </c>
      <c r="C3" s="35" t="s">
        <v>30</v>
      </c>
    </row>
    <row r="4" spans="2:7" x14ac:dyDescent="0.35">
      <c r="B4" s="35" t="s">
        <v>31</v>
      </c>
      <c r="C4" s="15" t="s">
        <v>20</v>
      </c>
    </row>
    <row r="5" spans="2:7" x14ac:dyDescent="0.35">
      <c r="B5" s="18" t="s">
        <v>2</v>
      </c>
      <c r="C5" s="36">
        <v>1787</v>
      </c>
    </row>
    <row r="6" spans="2:7" x14ac:dyDescent="0.35">
      <c r="B6" s="18" t="s">
        <v>3</v>
      </c>
      <c r="C6" s="36">
        <v>4222</v>
      </c>
    </row>
    <row r="7" spans="2:7" x14ac:dyDescent="0.35">
      <c r="B7" s="18" t="s">
        <v>4</v>
      </c>
      <c r="C7" s="36">
        <v>1777</v>
      </c>
    </row>
    <row r="8" spans="2:7" x14ac:dyDescent="0.35">
      <c r="B8" s="18" t="s">
        <v>5</v>
      </c>
      <c r="C8" s="36">
        <v>2715</v>
      </c>
    </row>
    <row r="9" spans="2:7" x14ac:dyDescent="0.35">
      <c r="B9" s="18" t="s">
        <v>6</v>
      </c>
      <c r="C9" s="36">
        <v>2539</v>
      </c>
    </row>
  </sheetData>
  <mergeCells count="1">
    <mergeCell ref="B2:D2"/>
  </mergeCells>
  <phoneticPr fontId="8" type="noConversion"/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801DB26A-4ECE-4D39-9F70-79B5B68530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产品销售报表</vt:lpstr>
      <vt:lpstr>历史数据</vt:lpstr>
      <vt:lpstr>价目单</vt:lpstr>
      <vt:lpstr>价格点透视</vt:lpstr>
      <vt:lpstr>销售趋势透视</vt:lpstr>
      <vt:lpstr>价目单!Print_Titles</vt:lpstr>
      <vt:lpstr>历史数据!Print_Titles</vt:lpstr>
      <vt:lpstr>选定的产品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</dc:creator>
  <cp:keywords/>
  <cp:lastModifiedBy>king</cp:lastModifiedBy>
  <dcterms:created xsi:type="dcterms:W3CDTF">2017-09-28T13:59:44Z</dcterms:created>
  <dcterms:modified xsi:type="dcterms:W3CDTF">2017-09-28T13:59:46Z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TC034289169991</vt:lpwstr>
  </property>
</Properties>
</file>