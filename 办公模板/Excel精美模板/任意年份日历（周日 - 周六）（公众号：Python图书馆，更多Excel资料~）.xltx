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/>
  <workbookPr/>
  <mc:AlternateContent xmlns:mc="http://schemas.openxmlformats.org/markup-compatibility/2006">
    <mc:Choice Requires="x15">
      <x15ac:absPath xmlns:x15ac="http://schemas.microsoft.com/office/spreadsheetml/2010/11/ac" url="C:\Users\king\Desktop\"/>
    </mc:Choice>
  </mc:AlternateContent>
  <bookViews>
    <workbookView xWindow="0" yWindow="0" windowWidth="28800" windowHeight="12435"/>
  </bookViews>
  <sheets>
    <sheet name="日历" sheetId="1" r:id="rId1"/>
    <sheet name="0" sheetId="2" state="hidden" r:id="rId2"/>
  </sheets>
  <definedNames>
    <definedName name="CalYear">日历!$B$2</definedName>
    <definedName name="Days">{0,1,2,3,4,5,6} + {0;1;2;3;4;5}*7</definedName>
    <definedName name="monthtb">'0'!$A$1:$B$12</definedName>
    <definedName name="WeekStart">日历!$I$5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P56" i="1"/>
  <c r="O56" i="1"/>
  <c r="N56" i="1"/>
  <c r="M56" i="1"/>
  <c r="L56" i="1"/>
  <c r="K56" i="1"/>
  <c r="J56" i="1"/>
  <c r="H56" i="1"/>
  <c r="G56" i="1"/>
  <c r="F56" i="1"/>
  <c r="E56" i="1"/>
  <c r="D56" i="1"/>
  <c r="C56" i="1"/>
  <c r="B56" i="1"/>
  <c r="P46" i="1"/>
  <c r="O46" i="1"/>
  <c r="N46" i="1"/>
  <c r="M46" i="1"/>
  <c r="L46" i="1"/>
  <c r="K46" i="1"/>
  <c r="J46" i="1"/>
  <c r="H46" i="1"/>
  <c r="G46" i="1"/>
  <c r="F46" i="1"/>
  <c r="E46" i="1"/>
  <c r="D46" i="1"/>
  <c r="C46" i="1"/>
  <c r="B46" i="1"/>
  <c r="P36" i="1"/>
  <c r="O36" i="1"/>
  <c r="N36" i="1"/>
  <c r="M36" i="1"/>
  <c r="L36" i="1"/>
  <c r="K36" i="1"/>
  <c r="J36" i="1"/>
  <c r="H36" i="1"/>
  <c r="G36" i="1"/>
  <c r="F36" i="1"/>
  <c r="E36" i="1"/>
  <c r="D36" i="1"/>
  <c r="C36" i="1"/>
  <c r="B36" i="1"/>
  <c r="P26" i="1"/>
  <c r="O26" i="1"/>
  <c r="N26" i="1"/>
  <c r="M26" i="1"/>
  <c r="L26" i="1"/>
  <c r="K26" i="1"/>
  <c r="J26" i="1"/>
  <c r="H26" i="1"/>
  <c r="G26" i="1"/>
  <c r="F26" i="1"/>
  <c r="E26" i="1"/>
  <c r="D26" i="1"/>
  <c r="C26" i="1"/>
  <c r="B26" i="1"/>
  <c r="P16" i="1"/>
  <c r="O16" i="1"/>
  <c r="N16" i="1"/>
  <c r="M16" i="1"/>
  <c r="L16" i="1"/>
  <c r="K16" i="1"/>
  <c r="J16" i="1"/>
  <c r="H16" i="1"/>
  <c r="G16" i="1"/>
  <c r="F16" i="1"/>
  <c r="E16" i="1"/>
  <c r="D16" i="1"/>
  <c r="C16" i="1"/>
  <c r="B16" i="1"/>
  <c r="P6" i="1"/>
  <c r="O6" i="1"/>
  <c r="N6" i="1"/>
  <c r="M6" i="1"/>
  <c r="L6" i="1"/>
  <c r="K6" i="1"/>
  <c r="H6" i="1"/>
  <c r="G6" i="1"/>
  <c r="F6" i="1"/>
  <c r="E6" i="1"/>
  <c r="D6" i="1"/>
  <c r="C6" i="1"/>
  <c r="B6" i="1"/>
  <c r="J34" i="1" l="1"/>
  <c r="J24" i="1"/>
  <c r="B54" i="1"/>
  <c r="J54" i="1"/>
  <c r="B24" i="1"/>
  <c r="B44" i="1"/>
  <c r="J4" i="1"/>
  <c r="B4" i="1"/>
  <c r="J44" i="1"/>
  <c r="J14" i="1"/>
  <c r="B34" i="1"/>
  <c r="B14" i="1"/>
  <c r="B7" i="1" l="1" a="1"/>
  <c r="B12" i="1" a="1"/>
  <c r="B10" i="1" a="1"/>
  <c r="B8" i="1" a="1"/>
  <c r="E8" i="1" s="1"/>
  <c r="B11" i="1" a="1"/>
  <c r="B9" i="1" a="1"/>
  <c r="B39" i="1" a="1"/>
  <c r="B42" i="1" a="1"/>
  <c r="D42" i="1" s="1"/>
  <c r="B40" i="1" a="1"/>
  <c r="B38" i="1" a="1"/>
  <c r="B41" i="1" a="1"/>
  <c r="B37" i="1" a="1"/>
  <c r="H37" i="1" s="1"/>
  <c r="B59" i="1" a="1"/>
  <c r="B62" i="1" a="1"/>
  <c r="B60" i="1" a="1"/>
  <c r="B58" i="1" a="1"/>
  <c r="D58" i="1" s="1"/>
  <c r="B61" i="1" a="1"/>
  <c r="B57" i="1" a="1"/>
  <c r="J22" i="1" a="1"/>
  <c r="J20" i="1" a="1"/>
  <c r="K20" i="1" s="1"/>
  <c r="J18" i="1" a="1"/>
  <c r="J21" i="1" a="1"/>
  <c r="J19" i="1" a="1"/>
  <c r="J17" i="1" a="1"/>
  <c r="M17" i="1" s="1"/>
  <c r="B49" i="1" a="1"/>
  <c r="B52" i="1" a="1"/>
  <c r="B50" i="1" a="1"/>
  <c r="B48" i="1" a="1"/>
  <c r="H48" i="1" s="1"/>
  <c r="B51" i="1" a="1"/>
  <c r="B47" i="1" a="1"/>
  <c r="J32" i="1" a="1"/>
  <c r="J30" i="1" a="1"/>
  <c r="P30" i="1" s="1"/>
  <c r="J28" i="1" a="1"/>
  <c r="J31" i="1" a="1"/>
  <c r="J29" i="1" a="1"/>
  <c r="J27" i="1" a="1"/>
  <c r="L27" i="1" s="1"/>
  <c r="B17" i="1" a="1"/>
  <c r="B22" i="1" a="1"/>
  <c r="B20" i="1" a="1"/>
  <c r="B18" i="1" a="1"/>
  <c r="E18" i="1" s="1"/>
  <c r="B21" i="1" a="1"/>
  <c r="B19" i="1" a="1"/>
  <c r="J62" i="1" a="1"/>
  <c r="J60" i="1" a="1"/>
  <c r="N60" i="1" s="1"/>
  <c r="J58" i="1" a="1"/>
  <c r="J61" i="1" a="1"/>
  <c r="J59" i="1" a="1"/>
  <c r="J57" i="1" a="1"/>
  <c r="N57" i="1" s="1"/>
  <c r="J12" i="1" a="1"/>
  <c r="J10" i="1" a="1"/>
  <c r="J8" i="1" a="1"/>
  <c r="J11" i="1" a="1"/>
  <c r="P11" i="1" s="1"/>
  <c r="J9" i="1" a="1"/>
  <c r="J7" i="1" a="1"/>
  <c r="J52" i="1" a="1"/>
  <c r="J50" i="1" a="1"/>
  <c r="N50" i="1" s="1"/>
  <c r="J48" i="1" a="1"/>
  <c r="J51" i="1" a="1"/>
  <c r="J49" i="1" a="1"/>
  <c r="J47" i="1" a="1"/>
  <c r="N47" i="1" s="1"/>
  <c r="B27" i="1" a="1"/>
  <c r="B32" i="1" a="1"/>
  <c r="B30" i="1" a="1"/>
  <c r="B28" i="1" a="1"/>
  <c r="D28" i="1" s="1"/>
  <c r="B31" i="1" a="1"/>
  <c r="B29" i="1" a="1"/>
  <c r="J42" i="1" a="1"/>
  <c r="J40" i="1" a="1"/>
  <c r="P40" i="1" s="1"/>
  <c r="J38" i="1" a="1"/>
  <c r="J41" i="1" a="1"/>
  <c r="J39" i="1" a="1"/>
  <c r="J37" i="1" a="1"/>
  <c r="N37" i="1" s="1"/>
  <c r="B15" i="1"/>
  <c r="H17" i="1"/>
  <c r="H19" i="1"/>
  <c r="H20" i="1"/>
  <c r="H21" i="1"/>
  <c r="H22" i="1"/>
  <c r="B17" i="1"/>
  <c r="C17" i="1"/>
  <c r="D17" i="1"/>
  <c r="E17" i="1"/>
  <c r="F17" i="1"/>
  <c r="G17" i="1"/>
  <c r="D18" i="1"/>
  <c r="B19" i="1"/>
  <c r="C19" i="1"/>
  <c r="D19" i="1"/>
  <c r="E19" i="1"/>
  <c r="F19" i="1"/>
  <c r="G19" i="1"/>
  <c r="B20" i="1"/>
  <c r="C20" i="1"/>
  <c r="D20" i="1"/>
  <c r="E20" i="1"/>
  <c r="F20" i="1"/>
  <c r="G20" i="1"/>
  <c r="B21" i="1"/>
  <c r="C21" i="1"/>
  <c r="D21" i="1"/>
  <c r="E21" i="1"/>
  <c r="F21" i="1"/>
  <c r="G21" i="1"/>
  <c r="B22" i="1"/>
  <c r="C22" i="1"/>
  <c r="D22" i="1"/>
  <c r="E22" i="1"/>
  <c r="F22" i="1"/>
  <c r="G22" i="1"/>
  <c r="B35" i="1"/>
  <c r="H38" i="1"/>
  <c r="H39" i="1"/>
  <c r="H40" i="1"/>
  <c r="H41" i="1"/>
  <c r="J15" i="1"/>
  <c r="P17" i="1"/>
  <c r="P18" i="1"/>
  <c r="P19" i="1"/>
  <c r="P21" i="1"/>
  <c r="P22" i="1"/>
  <c r="L17" i="1"/>
  <c r="J18" i="1"/>
  <c r="K18" i="1"/>
  <c r="L18" i="1"/>
  <c r="M18" i="1"/>
  <c r="N18" i="1"/>
  <c r="O18" i="1"/>
  <c r="J19" i="1"/>
  <c r="K19" i="1"/>
  <c r="L19" i="1"/>
  <c r="M19" i="1"/>
  <c r="N19" i="1"/>
  <c r="O19" i="1"/>
  <c r="J20" i="1"/>
  <c r="N20" i="1"/>
  <c r="J21" i="1"/>
  <c r="K21" i="1"/>
  <c r="L21" i="1"/>
  <c r="M21" i="1"/>
  <c r="N21" i="1"/>
  <c r="O21" i="1"/>
  <c r="J22" i="1"/>
  <c r="K22" i="1"/>
  <c r="L22" i="1"/>
  <c r="M22" i="1"/>
  <c r="N22" i="1"/>
  <c r="O22" i="1"/>
  <c r="J45" i="1"/>
  <c r="P48" i="1"/>
  <c r="P49" i="1"/>
  <c r="P51" i="1"/>
  <c r="P52" i="1"/>
  <c r="B5" i="1"/>
  <c r="H7" i="1"/>
  <c r="H9" i="1"/>
  <c r="H10" i="1"/>
  <c r="H11" i="1"/>
  <c r="H12" i="1"/>
  <c r="B7" i="1"/>
  <c r="C7" i="1"/>
  <c r="D7" i="1"/>
  <c r="E7" i="1"/>
  <c r="F7" i="1"/>
  <c r="G7" i="1"/>
  <c r="D8" i="1"/>
  <c r="B9" i="1"/>
  <c r="C9" i="1"/>
  <c r="D9" i="1"/>
  <c r="E9" i="1"/>
  <c r="F9" i="1"/>
  <c r="G9" i="1"/>
  <c r="B10" i="1"/>
  <c r="C10" i="1"/>
  <c r="D10" i="1"/>
  <c r="E10" i="1"/>
  <c r="F10" i="1"/>
  <c r="G10" i="1"/>
  <c r="B11" i="1"/>
  <c r="C11" i="1"/>
  <c r="D11" i="1"/>
  <c r="E11" i="1"/>
  <c r="F11" i="1"/>
  <c r="G11" i="1"/>
  <c r="B12" i="1"/>
  <c r="C12" i="1"/>
  <c r="D12" i="1"/>
  <c r="E12" i="1"/>
  <c r="F12" i="1"/>
  <c r="G12" i="1"/>
  <c r="J5" i="1"/>
  <c r="P7" i="1"/>
  <c r="P8" i="1"/>
  <c r="P9" i="1"/>
  <c r="P10" i="1"/>
  <c r="P12" i="1"/>
  <c r="J7" i="1"/>
  <c r="K7" i="1"/>
  <c r="L7" i="1"/>
  <c r="M7" i="1"/>
  <c r="N7" i="1"/>
  <c r="O7" i="1"/>
  <c r="J8" i="1"/>
  <c r="K8" i="1"/>
  <c r="L8" i="1"/>
  <c r="M8" i="1"/>
  <c r="N8" i="1"/>
  <c r="O8" i="1"/>
  <c r="J9" i="1"/>
  <c r="K9" i="1"/>
  <c r="L9" i="1"/>
  <c r="M9" i="1"/>
  <c r="N9" i="1"/>
  <c r="O9" i="1"/>
  <c r="J10" i="1"/>
  <c r="K10" i="1"/>
  <c r="L10" i="1"/>
  <c r="M10" i="1"/>
  <c r="N10" i="1"/>
  <c r="O10" i="1"/>
  <c r="K11" i="1"/>
  <c r="O11" i="1"/>
  <c r="J12" i="1"/>
  <c r="K12" i="1"/>
  <c r="L12" i="1"/>
  <c r="M12" i="1"/>
  <c r="N12" i="1"/>
  <c r="O12" i="1"/>
  <c r="B45" i="1"/>
  <c r="H47" i="1"/>
  <c r="H49" i="1"/>
  <c r="H50" i="1"/>
  <c r="H51" i="1"/>
  <c r="H52" i="1"/>
  <c r="B25" i="1"/>
  <c r="H27" i="1"/>
  <c r="H28" i="1"/>
  <c r="H29" i="1"/>
  <c r="H30" i="1"/>
  <c r="H31" i="1"/>
  <c r="H32" i="1"/>
  <c r="B27" i="1"/>
  <c r="C27" i="1"/>
  <c r="D27" i="1"/>
  <c r="E27" i="1"/>
  <c r="F27" i="1"/>
  <c r="G27" i="1"/>
  <c r="C28" i="1"/>
  <c r="G28" i="1"/>
  <c r="B29" i="1"/>
  <c r="C29" i="1"/>
  <c r="D29" i="1"/>
  <c r="E29" i="1"/>
  <c r="F29" i="1"/>
  <c r="G29" i="1"/>
  <c r="B30" i="1"/>
  <c r="C30" i="1"/>
  <c r="D30" i="1"/>
  <c r="E30" i="1"/>
  <c r="J55" i="1"/>
  <c r="P57" i="1"/>
  <c r="P58" i="1"/>
  <c r="P59" i="1"/>
  <c r="P61" i="1"/>
  <c r="P62" i="1"/>
  <c r="B55" i="1"/>
  <c r="H57" i="1"/>
  <c r="H58" i="1"/>
  <c r="H59" i="1"/>
  <c r="H60" i="1"/>
  <c r="H61" i="1"/>
  <c r="H62" i="1"/>
  <c r="J25" i="1"/>
  <c r="P28" i="1"/>
  <c r="P29" i="1"/>
  <c r="P31" i="1"/>
  <c r="K27" i="1"/>
  <c r="O27" i="1"/>
  <c r="J28" i="1"/>
  <c r="K28" i="1"/>
  <c r="L28" i="1"/>
  <c r="M28" i="1"/>
  <c r="N28" i="1"/>
  <c r="O28" i="1"/>
  <c r="J29" i="1"/>
  <c r="K29" i="1"/>
  <c r="L29" i="1"/>
  <c r="M29" i="1"/>
  <c r="N29" i="1"/>
  <c r="O29" i="1"/>
  <c r="J35" i="1"/>
  <c r="P38" i="1"/>
  <c r="P39" i="1"/>
  <c r="P41" i="1"/>
  <c r="P42" i="1"/>
  <c r="O62" i="1"/>
  <c r="N62" i="1"/>
  <c r="M62" i="1"/>
  <c r="L62" i="1"/>
  <c r="K62" i="1"/>
  <c r="J62" i="1"/>
  <c r="G62" i="1"/>
  <c r="F62" i="1"/>
  <c r="E62" i="1"/>
  <c r="D62" i="1"/>
  <c r="C62" i="1"/>
  <c r="B62" i="1"/>
  <c r="O61" i="1"/>
  <c r="N61" i="1"/>
  <c r="M61" i="1"/>
  <c r="L61" i="1"/>
  <c r="K61" i="1"/>
  <c r="J61" i="1"/>
  <c r="G61" i="1"/>
  <c r="F61" i="1"/>
  <c r="E61" i="1"/>
  <c r="D61" i="1"/>
  <c r="C61" i="1"/>
  <c r="B61" i="1"/>
  <c r="O60" i="1"/>
  <c r="K60" i="1"/>
  <c r="G60" i="1"/>
  <c r="F60" i="1"/>
  <c r="E60" i="1"/>
  <c r="D60" i="1"/>
  <c r="C60" i="1"/>
  <c r="B60" i="1"/>
  <c r="O59" i="1"/>
  <c r="N59" i="1"/>
  <c r="M59" i="1"/>
  <c r="L59" i="1"/>
  <c r="K59" i="1"/>
  <c r="J59" i="1"/>
  <c r="G59" i="1"/>
  <c r="F59" i="1"/>
  <c r="E59" i="1"/>
  <c r="D59" i="1"/>
  <c r="C59" i="1"/>
  <c r="B59" i="1"/>
  <c r="O58" i="1"/>
  <c r="N58" i="1"/>
  <c r="M58" i="1"/>
  <c r="L58" i="1"/>
  <c r="K58" i="1"/>
  <c r="J58" i="1"/>
  <c r="E58" i="1"/>
  <c r="O57" i="1"/>
  <c r="K57" i="1"/>
  <c r="G57" i="1"/>
  <c r="F57" i="1"/>
  <c r="E57" i="1"/>
  <c r="D57" i="1"/>
  <c r="C57" i="1"/>
  <c r="B57" i="1"/>
  <c r="O52" i="1"/>
  <c r="N52" i="1"/>
  <c r="M52" i="1"/>
  <c r="L52" i="1"/>
  <c r="K52" i="1"/>
  <c r="J52" i="1"/>
  <c r="G52" i="1"/>
  <c r="F52" i="1"/>
  <c r="E52" i="1"/>
  <c r="D52" i="1"/>
  <c r="C52" i="1"/>
  <c r="B52" i="1"/>
  <c r="O51" i="1"/>
  <c r="N51" i="1"/>
  <c r="M51" i="1"/>
  <c r="L51" i="1"/>
  <c r="K51" i="1"/>
  <c r="J51" i="1"/>
  <c r="G51" i="1"/>
  <c r="F51" i="1"/>
  <c r="E51" i="1"/>
  <c r="D51" i="1"/>
  <c r="C51" i="1"/>
  <c r="B51" i="1"/>
  <c r="O50" i="1"/>
  <c r="K50" i="1"/>
  <c r="G50" i="1"/>
  <c r="F50" i="1"/>
  <c r="E50" i="1"/>
  <c r="D50" i="1"/>
  <c r="C50" i="1"/>
  <c r="B50" i="1"/>
  <c r="O49" i="1"/>
  <c r="N49" i="1"/>
  <c r="M49" i="1"/>
  <c r="L49" i="1"/>
  <c r="K49" i="1"/>
  <c r="J49" i="1"/>
  <c r="G49" i="1"/>
  <c r="F49" i="1"/>
  <c r="E49" i="1"/>
  <c r="D49" i="1"/>
  <c r="C49" i="1"/>
  <c r="B49" i="1"/>
  <c r="O48" i="1"/>
  <c r="N48" i="1"/>
  <c r="M48" i="1"/>
  <c r="L48" i="1"/>
  <c r="K48" i="1"/>
  <c r="J48" i="1"/>
  <c r="E48" i="1"/>
  <c r="O47" i="1"/>
  <c r="K47" i="1"/>
  <c r="G47" i="1"/>
  <c r="F47" i="1"/>
  <c r="E47" i="1"/>
  <c r="D47" i="1"/>
  <c r="C47" i="1"/>
  <c r="B47" i="1"/>
  <c r="O42" i="1"/>
  <c r="N42" i="1"/>
  <c r="M42" i="1"/>
  <c r="L42" i="1"/>
  <c r="K42" i="1"/>
  <c r="J42" i="1"/>
  <c r="E42" i="1"/>
  <c r="O41" i="1"/>
  <c r="N41" i="1"/>
  <c r="M41" i="1"/>
  <c r="L41" i="1"/>
  <c r="K41" i="1"/>
  <c r="J41" i="1"/>
  <c r="G41" i="1"/>
  <c r="F41" i="1"/>
  <c r="E41" i="1"/>
  <c r="D41" i="1"/>
  <c r="C41" i="1"/>
  <c r="B41" i="1"/>
  <c r="O40" i="1"/>
  <c r="K40" i="1"/>
  <c r="G40" i="1"/>
  <c r="F40" i="1"/>
  <c r="E40" i="1"/>
  <c r="D40" i="1"/>
  <c r="C40" i="1"/>
  <c r="B40" i="1"/>
  <c r="O39" i="1"/>
  <c r="N39" i="1"/>
  <c r="M39" i="1"/>
  <c r="L39" i="1"/>
  <c r="K39" i="1"/>
  <c r="J39" i="1"/>
  <c r="G39" i="1"/>
  <c r="F39" i="1"/>
  <c r="E39" i="1"/>
  <c r="D39" i="1"/>
  <c r="C39" i="1"/>
  <c r="B39" i="1"/>
  <c r="O38" i="1"/>
  <c r="N38" i="1"/>
  <c r="M38" i="1"/>
  <c r="L38" i="1"/>
  <c r="K38" i="1"/>
  <c r="J38" i="1"/>
  <c r="G38" i="1"/>
  <c r="F38" i="1"/>
  <c r="E38" i="1"/>
  <c r="D38" i="1"/>
  <c r="C38" i="1"/>
  <c r="B38" i="1"/>
  <c r="O37" i="1"/>
  <c r="K37" i="1"/>
  <c r="E37" i="1"/>
  <c r="M32" i="1"/>
  <c r="L32" i="1"/>
  <c r="K32" i="1"/>
  <c r="J32" i="1"/>
  <c r="N32" i="1"/>
  <c r="O32" i="1"/>
  <c r="P32" i="1"/>
  <c r="G32" i="1"/>
  <c r="F32" i="1"/>
  <c r="E32" i="1"/>
  <c r="D32" i="1"/>
  <c r="C32" i="1"/>
  <c r="B32" i="1"/>
  <c r="O31" i="1"/>
  <c r="N31" i="1"/>
  <c r="M31" i="1"/>
  <c r="L31" i="1"/>
  <c r="K31" i="1"/>
  <c r="J31" i="1"/>
  <c r="G31" i="1"/>
  <c r="F31" i="1"/>
  <c r="E31" i="1"/>
  <c r="D31" i="1"/>
  <c r="C31" i="1"/>
  <c r="B31" i="1"/>
  <c r="L30" i="1"/>
  <c r="G30" i="1"/>
  <c r="F30" i="1"/>
  <c r="F28" i="1" l="1"/>
  <c r="B28" i="1"/>
  <c r="N11" i="1"/>
  <c r="J11" i="1"/>
  <c r="G8" i="1"/>
  <c r="C8" i="1"/>
  <c r="H8" i="1"/>
  <c r="P47" i="1"/>
  <c r="M20" i="1"/>
  <c r="O17" i="1"/>
  <c r="K17" i="1"/>
  <c r="P20" i="1"/>
  <c r="G18" i="1"/>
  <c r="C18" i="1"/>
  <c r="H18" i="1"/>
  <c r="M30" i="1"/>
  <c r="B37" i="1"/>
  <c r="F37" i="1"/>
  <c r="L37" i="1"/>
  <c r="L40" i="1"/>
  <c r="B42" i="1"/>
  <c r="F42" i="1"/>
  <c r="L47" i="1"/>
  <c r="F48" i="1"/>
  <c r="L50" i="1"/>
  <c r="L57" i="1"/>
  <c r="B58" i="1"/>
  <c r="F58" i="1"/>
  <c r="L60" i="1"/>
  <c r="N27" i="1"/>
  <c r="J27" i="1"/>
  <c r="P60" i="1"/>
  <c r="J30" i="1"/>
  <c r="N30" i="1"/>
  <c r="C37" i="1"/>
  <c r="G37" i="1"/>
  <c r="M37" i="1"/>
  <c r="M40" i="1"/>
  <c r="C42" i="1"/>
  <c r="G42" i="1"/>
  <c r="M47" i="1"/>
  <c r="C48" i="1"/>
  <c r="G48" i="1"/>
  <c r="M50" i="1"/>
  <c r="M57" i="1"/>
  <c r="C58" i="1"/>
  <c r="G58" i="1"/>
  <c r="M60" i="1"/>
  <c r="P37" i="1"/>
  <c r="M27" i="1"/>
  <c r="P27" i="1"/>
  <c r="E28" i="1"/>
  <c r="M11" i="1"/>
  <c r="F8" i="1"/>
  <c r="B8" i="1"/>
  <c r="P50" i="1"/>
  <c r="L20" i="1"/>
  <c r="N17" i="1"/>
  <c r="J17" i="1"/>
  <c r="H42" i="1"/>
  <c r="F18" i="1"/>
  <c r="B18" i="1"/>
  <c r="B48" i="1"/>
  <c r="K30" i="1"/>
  <c r="O30" i="1"/>
  <c r="D37" i="1"/>
  <c r="J37" i="1"/>
  <c r="J40" i="1"/>
  <c r="N40" i="1"/>
  <c r="J47" i="1"/>
  <c r="D48" i="1"/>
  <c r="J50" i="1"/>
  <c r="J57" i="1"/>
  <c r="J60" i="1"/>
  <c r="L11" i="1"/>
  <c r="O20" i="1"/>
</calcChain>
</file>

<file path=xl/sharedStrings.xml><?xml version="1.0" encoding="utf-8"?>
<sst xmlns="http://schemas.openxmlformats.org/spreadsheetml/2006/main" count="13" uniqueCount="13">
  <si>
    <t>Sunday</t>
  </si>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</sst>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mmm"/>
    <numFmt numFmtId="177" formatCode="d"/>
  </numFmts>
  <fonts count="16" x14ac:knownFonts="1">
    <font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2"/>
      <color theme="1" tint="0.34998626667073579"/>
      <name val="宋体"/>
      <family val="2"/>
      <scheme val="major"/>
    </font>
    <font>
      <sz val="8"/>
      <color theme="0"/>
      <name val="宋体"/>
      <family val="2"/>
      <scheme val="major"/>
    </font>
    <font>
      <sz val="48"/>
      <color theme="1" tint="0.34998626667073579"/>
      <name val="宋体"/>
      <family val="2"/>
      <scheme val="major"/>
    </font>
    <font>
      <b/>
      <sz val="10"/>
      <color theme="3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sz val="48"/>
      <color theme="1" tint="0.34998626667073579"/>
      <name val="Microsoft YaHei UI"/>
      <family val="2"/>
      <charset val="134"/>
    </font>
    <font>
      <sz val="10"/>
      <color theme="0"/>
      <name val="Microsoft YaHei UI"/>
      <family val="2"/>
      <charset val="134"/>
    </font>
    <font>
      <sz val="12"/>
      <color theme="1" tint="0.34998626667073579"/>
      <name val="Microsoft YaHei UI"/>
      <family val="2"/>
      <charset val="134"/>
    </font>
    <font>
      <sz val="8"/>
      <color theme="0"/>
      <name val="Microsoft YaHei UI"/>
      <family val="2"/>
      <charset val="134"/>
    </font>
    <font>
      <b/>
      <sz val="10"/>
      <color theme="3"/>
      <name val="Microsoft YaHei UI"/>
      <family val="2"/>
      <charset val="134"/>
    </font>
    <font>
      <sz val="9"/>
      <color theme="3"/>
      <name val="Microsoft YaHei UI"/>
      <family val="2"/>
      <charset val="134"/>
    </font>
    <font>
      <sz val="10"/>
      <color theme="3"/>
      <name val="Microsoft YaHei UI"/>
      <family val="2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4" tint="0.499984740745262"/>
      </bottom>
      <diagonal/>
    </border>
    <border>
      <left/>
      <right/>
      <top style="thin">
        <color theme="4"/>
      </top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4" fillId="0" borderId="0" applyNumberFormat="0" applyFill="0" applyProtection="0">
      <alignment horizontal="center" vertical="center"/>
    </xf>
    <xf numFmtId="0" fontId="2" fillId="0" borderId="1" applyNumberFormat="0" applyFill="0" applyProtection="0">
      <alignment horizontal="center"/>
    </xf>
    <xf numFmtId="0" fontId="3" fillId="0" borderId="2" applyNumberFormat="0" applyFill="0" applyProtection="0">
      <alignment horizontal="center"/>
    </xf>
  </cellStyleXfs>
  <cellXfs count="22">
    <xf numFmtId="0" fontId="0" fillId="0" borderId="0" xfId="0"/>
    <xf numFmtId="0" fontId="1" fillId="0" borderId="0" xfId="0" applyFont="1"/>
    <xf numFmtId="0" fontId="7" fillId="0" borderId="0" xfId="0" applyFont="1"/>
    <xf numFmtId="0" fontId="8" fillId="0" borderId="0" xfId="0" applyFont="1"/>
    <xf numFmtId="0" fontId="10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6" fontId="13" fillId="0" borderId="0" xfId="1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 applyAlignment="1"/>
    <xf numFmtId="177" fontId="14" fillId="0" borderId="0" xfId="0" applyNumberFormat="1" applyFont="1" applyFill="1" applyAlignment="1">
      <alignment horizontal="center"/>
    </xf>
    <xf numFmtId="0" fontId="7" fillId="0" borderId="0" xfId="0" applyFont="1" applyFill="1" applyAlignment="1"/>
    <xf numFmtId="177" fontId="15" fillId="0" borderId="0" xfId="0" applyNumberFormat="1" applyFont="1" applyFill="1" applyAlignment="1">
      <alignment horizontal="center"/>
    </xf>
    <xf numFmtId="177" fontId="14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177" fontId="15" fillId="0" borderId="0" xfId="0" applyNumberFormat="1" applyFont="1" applyFill="1" applyAlignment="1">
      <alignment horizontal="center" vertical="center"/>
    </xf>
    <xf numFmtId="0" fontId="7" fillId="0" borderId="0" xfId="0" applyFont="1" applyFill="1"/>
    <xf numFmtId="0" fontId="12" fillId="0" borderId="2" xfId="4" applyFont="1" applyFill="1" applyAlignment="1">
      <alignment horizontal="left" vertical="center"/>
    </xf>
    <xf numFmtId="0" fontId="11" fillId="0" borderId="1" xfId="3" applyNumberFormat="1" applyFont="1" applyAlignment="1">
      <alignment horizontal="center"/>
    </xf>
    <xf numFmtId="0" fontId="9" fillId="0" borderId="0" xfId="2" applyFont="1" applyAlignment="1">
      <alignment horizontal="center" vertical="center"/>
    </xf>
    <xf numFmtId="0" fontId="10" fillId="0" borderId="2" xfId="0" applyFont="1" applyFill="1" applyBorder="1" applyAlignment="1">
      <alignment horizontal="left" vertical="center"/>
    </xf>
  </cellXfs>
  <cellStyles count="5">
    <cellStyle name="标题 1" xfId="2" builtinId="16" customBuiltin="1"/>
    <cellStyle name="标题 2" xfId="3" builtinId="17" customBuiltin="1"/>
    <cellStyle name="标题 3" xfId="4" builtinId="18" customBuiltin="1"/>
    <cellStyle name="标题 4" xfId="1" builtinId="19" customBuiltin="1"/>
    <cellStyle name="常规" xfId="0" builtinId="0"/>
  </cellStyles>
  <dxfs count="24"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  <dxf>
      <font>
        <color theme="3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2" fmlaLink="$B$2" max="3000" min="1900" page="10" val="20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152400</xdr:rowOff>
        </xdr:from>
        <xdr:to>
          <xdr:col>15</xdr:col>
          <xdr:colOff>285750</xdr:colOff>
          <xdr:row>1</xdr:row>
          <xdr:rowOff>609600</xdr:rowOff>
        </xdr:to>
        <xdr:sp macro="" textlink="">
          <xdr:nvSpPr>
            <xdr:cNvPr id="1025" name="Spinner 1" descr="Spinner control for changing years.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A1:Q64"/>
  <sheetViews>
    <sheetView showGridLines="0" tabSelected="1" workbookViewId="0"/>
  </sheetViews>
  <sheetFormatPr defaultRowHeight="13.5" x14ac:dyDescent="0.15"/>
  <cols>
    <col min="1" max="1" width="1.75" style="1" customWidth="1"/>
    <col min="2" max="8" width="7.375" customWidth="1"/>
    <col min="9" max="9" width="4.75" customWidth="1"/>
    <col min="10" max="16" width="7.375" customWidth="1"/>
    <col min="17" max="17" width="2.25" customWidth="1"/>
  </cols>
  <sheetData>
    <row r="1" spans="1:17" ht="6.7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56.25" customHeight="1" x14ac:dyDescent="0.3">
      <c r="A2" s="3"/>
      <c r="B2" s="20">
        <v>2016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"/>
    </row>
    <row r="3" spans="1:17" ht="6.75" customHeight="1" x14ac:dyDescent="0.3">
      <c r="A3" s="3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6.75" customHeight="1" x14ac:dyDescent="0.3">
      <c r="A4" s="4"/>
      <c r="B4" s="21">
        <f>DATE(CalYear,1,1)</f>
        <v>42370</v>
      </c>
      <c r="C4" s="21"/>
      <c r="D4" s="21"/>
      <c r="E4" s="21"/>
      <c r="F4" s="21"/>
      <c r="G4" s="21"/>
      <c r="H4" s="21"/>
      <c r="I4" s="5"/>
      <c r="J4" s="21">
        <f>DATE(CalYear,2,1)</f>
        <v>42401</v>
      </c>
      <c r="K4" s="21"/>
      <c r="L4" s="21"/>
      <c r="M4" s="21"/>
      <c r="N4" s="21"/>
      <c r="O4" s="21"/>
      <c r="P4" s="21"/>
      <c r="Q4" s="2"/>
    </row>
    <row r="5" spans="1:17" ht="17.25" x14ac:dyDescent="0.3">
      <c r="A5" s="6"/>
      <c r="B5" s="19" t="str">
        <f>VLOOKUP(_xlfn.NUMBERVALUE(TEXT(B4,"M")),monthtb,2,FALSE)</f>
        <v>一月</v>
      </c>
      <c r="C5" s="19"/>
      <c r="D5" s="19"/>
      <c r="E5" s="19"/>
      <c r="F5" s="19"/>
      <c r="G5" s="19"/>
      <c r="H5" s="19"/>
      <c r="I5" s="7" t="s">
        <v>0</v>
      </c>
      <c r="J5" s="19" t="str">
        <f>VLOOKUP(_xlfn.NUMBERVALUE(TEXT(J4,"M")),monthtb,2,FALSE)</f>
        <v>二月</v>
      </c>
      <c r="K5" s="19"/>
      <c r="L5" s="19"/>
      <c r="M5" s="19"/>
      <c r="N5" s="19"/>
      <c r="O5" s="19"/>
      <c r="P5" s="19"/>
      <c r="Q5" s="2"/>
    </row>
    <row r="6" spans="1:17" ht="16.5" x14ac:dyDescent="0.3">
      <c r="A6" s="6"/>
      <c r="B6" s="8" t="str">
        <f t="shared" ref="B6:H6" si="0">CHOOSE(COLUMN(A$1)+(WeekStart="星期一"),"日","一","二","三","四","五","六","日")</f>
        <v>日</v>
      </c>
      <c r="C6" s="8" t="str">
        <f t="shared" si="0"/>
        <v>一</v>
      </c>
      <c r="D6" s="8" t="str">
        <f t="shared" si="0"/>
        <v>二</v>
      </c>
      <c r="E6" s="8" t="str">
        <f t="shared" si="0"/>
        <v>三</v>
      </c>
      <c r="F6" s="8" t="str">
        <f t="shared" si="0"/>
        <v>四</v>
      </c>
      <c r="G6" s="8" t="str">
        <f t="shared" si="0"/>
        <v>五</v>
      </c>
      <c r="H6" s="8" t="str">
        <f t="shared" si="0"/>
        <v>六</v>
      </c>
      <c r="I6" s="9"/>
      <c r="J6" s="8" t="str">
        <f t="shared" ref="J6:P6" si="1">CHOOSE(COLUMN(A$1)+(WeekStart="星期一"),"日","一","二","三","四","五","六","日")</f>
        <v>日</v>
      </c>
      <c r="K6" s="8" t="str">
        <f t="shared" si="1"/>
        <v>一</v>
      </c>
      <c r="L6" s="8" t="str">
        <f t="shared" si="1"/>
        <v>二</v>
      </c>
      <c r="M6" s="8" t="str">
        <f t="shared" si="1"/>
        <v>三</v>
      </c>
      <c r="N6" s="8" t="str">
        <f t="shared" si="1"/>
        <v>四</v>
      </c>
      <c r="O6" s="8" t="str">
        <f t="shared" si="1"/>
        <v>五</v>
      </c>
      <c r="P6" s="8" t="str">
        <f t="shared" si="1"/>
        <v>六</v>
      </c>
      <c r="Q6" s="2"/>
    </row>
    <row r="7" spans="1:17" ht="17.25" x14ac:dyDescent="0.35">
      <c r="A7" s="10">
        <v>1</v>
      </c>
      <c r="B7" s="11">
        <f t="array" ref="B7:H7">Days+DATE(CalYear,MONTH($B$4),1)-WEEKDAY(DATE(CalYear,MONTH($B$4),1),(WeekStart="星期一")+1)+$A7*7-6</f>
        <v>42365</v>
      </c>
      <c r="C7" s="11">
        <v>42366</v>
      </c>
      <c r="D7" s="11">
        <v>42367</v>
      </c>
      <c r="E7" s="11">
        <v>42368</v>
      </c>
      <c r="F7" s="11">
        <v>42369</v>
      </c>
      <c r="G7" s="11">
        <v>42370</v>
      </c>
      <c r="H7" s="11">
        <v>42371</v>
      </c>
      <c r="I7" s="12"/>
      <c r="J7" s="13">
        <f t="array" ref="J7:P7">Days+DATE(CalYear,MONTH($J$4),1)-WEEKDAY(DATE(CalYear,MONTH($J$4),1),(WeekStart="星期一")+1)+$A7*7-6</f>
        <v>42400</v>
      </c>
      <c r="K7" s="13">
        <v>42401</v>
      </c>
      <c r="L7" s="13">
        <v>42402</v>
      </c>
      <c r="M7" s="13">
        <v>42403</v>
      </c>
      <c r="N7" s="13">
        <v>42404</v>
      </c>
      <c r="O7" s="13">
        <v>42405</v>
      </c>
      <c r="P7" s="13">
        <v>42406</v>
      </c>
      <c r="Q7" s="2"/>
    </row>
    <row r="8" spans="1:17" ht="16.5" x14ac:dyDescent="0.3">
      <c r="A8" s="4">
        <v>2</v>
      </c>
      <c r="B8" s="14">
        <f t="array" ref="B8:H8">Days+DATE(CalYear,MONTH($B$4),1)-WEEKDAY(DATE(CalYear,MONTH($B$4),1),(WeekStart="星期一")+1)+$A8*7-6</f>
        <v>42372</v>
      </c>
      <c r="C8" s="14">
        <v>42373</v>
      </c>
      <c r="D8" s="14">
        <v>42374</v>
      </c>
      <c r="E8" s="14">
        <v>42375</v>
      </c>
      <c r="F8" s="14">
        <v>42376</v>
      </c>
      <c r="G8" s="14">
        <v>42377</v>
      </c>
      <c r="H8" s="14">
        <v>42378</v>
      </c>
      <c r="I8" s="15"/>
      <c r="J8" s="16">
        <f t="array" ref="J8:P8">Days+DATE(CalYear,MONTH($J$4),1)-WEEKDAY(DATE(CalYear,MONTH($J$4),1),(WeekStart="星期一")+1)+$A8*7-6</f>
        <v>42407</v>
      </c>
      <c r="K8" s="16">
        <v>42408</v>
      </c>
      <c r="L8" s="16">
        <v>42409</v>
      </c>
      <c r="M8" s="16">
        <v>42410</v>
      </c>
      <c r="N8" s="16">
        <v>42411</v>
      </c>
      <c r="O8" s="16">
        <v>42412</v>
      </c>
      <c r="P8" s="16">
        <v>42413</v>
      </c>
      <c r="Q8" s="2"/>
    </row>
    <row r="9" spans="1:17" ht="16.5" x14ac:dyDescent="0.3">
      <c r="A9" s="4">
        <v>3</v>
      </c>
      <c r="B9" s="14">
        <f t="array" ref="B9:H9">Days+DATE(CalYear,MONTH($B$4),1)-WEEKDAY(DATE(CalYear,MONTH($B$4),1),(WeekStart="星期一")+1)+$A9*7-6</f>
        <v>42379</v>
      </c>
      <c r="C9" s="14">
        <v>42380</v>
      </c>
      <c r="D9" s="14">
        <v>42381</v>
      </c>
      <c r="E9" s="14">
        <v>42382</v>
      </c>
      <c r="F9" s="14">
        <v>42383</v>
      </c>
      <c r="G9" s="14">
        <v>42384</v>
      </c>
      <c r="H9" s="14">
        <v>42385</v>
      </c>
      <c r="I9" s="15"/>
      <c r="J9" s="16">
        <f t="array" ref="J9:P9">Days+DATE(CalYear,MONTH($J$4),1)-WEEKDAY(DATE(CalYear,MONTH($J$4),1),(WeekStart="星期一")+1)+$A9*7-6</f>
        <v>42414</v>
      </c>
      <c r="K9" s="16">
        <v>42415</v>
      </c>
      <c r="L9" s="16">
        <v>42416</v>
      </c>
      <c r="M9" s="16">
        <v>42417</v>
      </c>
      <c r="N9" s="16">
        <v>42418</v>
      </c>
      <c r="O9" s="16">
        <v>42419</v>
      </c>
      <c r="P9" s="16">
        <v>42420</v>
      </c>
      <c r="Q9" s="2"/>
    </row>
    <row r="10" spans="1:17" ht="16.5" x14ac:dyDescent="0.3">
      <c r="A10" s="4">
        <v>4</v>
      </c>
      <c r="B10" s="14">
        <f t="array" ref="B10:H10">Days+DATE(CalYear,MONTH($B$4),1)-WEEKDAY(DATE(CalYear,MONTH($B$4),1),(WeekStart="星期一")+1)+$A10*7-6</f>
        <v>42386</v>
      </c>
      <c r="C10" s="14">
        <v>42387</v>
      </c>
      <c r="D10" s="14">
        <v>42388</v>
      </c>
      <c r="E10" s="14">
        <v>42389</v>
      </c>
      <c r="F10" s="14">
        <v>42390</v>
      </c>
      <c r="G10" s="14">
        <v>42391</v>
      </c>
      <c r="H10" s="14">
        <v>42392</v>
      </c>
      <c r="I10" s="15"/>
      <c r="J10" s="16">
        <f t="array" ref="J10:P10">Days+DATE(CalYear,MONTH($J$4),1)-WEEKDAY(DATE(CalYear,MONTH($J$4),1),(WeekStart="星期一")+1)+$A10*7-6</f>
        <v>42421</v>
      </c>
      <c r="K10" s="16">
        <v>42422</v>
      </c>
      <c r="L10" s="16">
        <v>42423</v>
      </c>
      <c r="M10" s="16">
        <v>42424</v>
      </c>
      <c r="N10" s="16">
        <v>42425</v>
      </c>
      <c r="O10" s="16">
        <v>42426</v>
      </c>
      <c r="P10" s="16">
        <v>42427</v>
      </c>
      <c r="Q10" s="2"/>
    </row>
    <row r="11" spans="1:17" ht="16.5" x14ac:dyDescent="0.3">
      <c r="A11" s="4">
        <v>5</v>
      </c>
      <c r="B11" s="14">
        <f t="array" ref="B11:H11">Days+DATE(CalYear,MONTH($B$4),1)-WEEKDAY(DATE(CalYear,MONTH($B$4),1),(WeekStart="星期一")+1)+$A11*7-6</f>
        <v>42393</v>
      </c>
      <c r="C11" s="14">
        <v>42394</v>
      </c>
      <c r="D11" s="14">
        <v>42395</v>
      </c>
      <c r="E11" s="14">
        <v>42396</v>
      </c>
      <c r="F11" s="14">
        <v>42397</v>
      </c>
      <c r="G11" s="14">
        <v>42398</v>
      </c>
      <c r="H11" s="14">
        <v>42399</v>
      </c>
      <c r="I11" s="15"/>
      <c r="J11" s="16">
        <f t="array" ref="J11:P11">Days+DATE(CalYear,MONTH($J$4),1)-WEEKDAY(DATE(CalYear,MONTH($J$4),1),(WeekStart="星期一")+1)+$A11*7-6</f>
        <v>42428</v>
      </c>
      <c r="K11" s="16">
        <v>42429</v>
      </c>
      <c r="L11" s="16">
        <v>42430</v>
      </c>
      <c r="M11" s="16">
        <v>42431</v>
      </c>
      <c r="N11" s="16">
        <v>42432</v>
      </c>
      <c r="O11" s="16">
        <v>42433</v>
      </c>
      <c r="P11" s="16">
        <v>42434</v>
      </c>
      <c r="Q11" s="2"/>
    </row>
    <row r="12" spans="1:17" ht="16.5" x14ac:dyDescent="0.3">
      <c r="A12" s="4">
        <v>6</v>
      </c>
      <c r="B12" s="14">
        <f t="array" ref="B12:H12">Days+DATE(CalYear,MONTH($B$4),1)-WEEKDAY(DATE(CalYear,MONTH($B$4),1),(WeekStart="星期一")+1)+$A12*7-6</f>
        <v>42400</v>
      </c>
      <c r="C12" s="14">
        <v>42401</v>
      </c>
      <c r="D12" s="14">
        <v>42402</v>
      </c>
      <c r="E12" s="14">
        <v>42403</v>
      </c>
      <c r="F12" s="14">
        <v>42404</v>
      </c>
      <c r="G12" s="14">
        <v>42405</v>
      </c>
      <c r="H12" s="14">
        <v>42406</v>
      </c>
      <c r="I12" s="15"/>
      <c r="J12" s="16">
        <f t="array" ref="J12:P12">Days+DATE(CalYear,MONTH($J$4),1)-WEEKDAY(DATE(CalYear,MONTH($J$4),1),(WeekStart="星期一")+1)+$A12*7-6</f>
        <v>42435</v>
      </c>
      <c r="K12" s="16">
        <v>42436</v>
      </c>
      <c r="L12" s="16">
        <v>42437</v>
      </c>
      <c r="M12" s="16">
        <v>42438</v>
      </c>
      <c r="N12" s="16">
        <v>42439</v>
      </c>
      <c r="O12" s="16">
        <v>42440</v>
      </c>
      <c r="P12" s="16">
        <v>42441</v>
      </c>
      <c r="Q12" s="2"/>
    </row>
    <row r="13" spans="1:17" ht="6.75" customHeight="1" x14ac:dyDescent="0.3">
      <c r="A13" s="4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2"/>
    </row>
    <row r="14" spans="1:17" ht="6.75" customHeight="1" x14ac:dyDescent="0.3">
      <c r="A14" s="4"/>
      <c r="B14" s="18">
        <f>DATE(CalYear,3,1)</f>
        <v>42430</v>
      </c>
      <c r="C14" s="18"/>
      <c r="D14" s="18"/>
      <c r="E14" s="18"/>
      <c r="F14" s="18"/>
      <c r="G14" s="18"/>
      <c r="H14" s="18"/>
      <c r="I14" s="15"/>
      <c r="J14" s="18">
        <f>DATE(CalYear,4,1)</f>
        <v>42461</v>
      </c>
      <c r="K14" s="18"/>
      <c r="L14" s="18"/>
      <c r="M14" s="18"/>
      <c r="N14" s="18"/>
      <c r="O14" s="18"/>
      <c r="P14" s="18"/>
      <c r="Q14" s="2"/>
    </row>
    <row r="15" spans="1:17" ht="17.25" x14ac:dyDescent="0.3">
      <c r="A15" s="4"/>
      <c r="B15" s="19" t="str">
        <f>VLOOKUP(_xlfn.NUMBERVALUE(TEXT(B14,"M")),monthtb,2,FALSE)</f>
        <v>三月</v>
      </c>
      <c r="C15" s="19"/>
      <c r="D15" s="19"/>
      <c r="E15" s="19"/>
      <c r="F15" s="19"/>
      <c r="G15" s="19"/>
      <c r="H15" s="19"/>
      <c r="I15" s="9"/>
      <c r="J15" s="19" t="str">
        <f>VLOOKUP(_xlfn.NUMBERVALUE(TEXT(J14,"M")),monthtb,2,FALSE)</f>
        <v>四月</v>
      </c>
      <c r="K15" s="19"/>
      <c r="L15" s="19"/>
      <c r="M15" s="19"/>
      <c r="N15" s="19"/>
      <c r="O15" s="19"/>
      <c r="P15" s="19"/>
      <c r="Q15" s="2"/>
    </row>
    <row r="16" spans="1:17" ht="16.5" x14ac:dyDescent="0.3">
      <c r="A16" s="6"/>
      <c r="B16" s="8" t="str">
        <f t="shared" ref="B16:H16" si="2">CHOOSE(COLUMN(A$1)+(WeekStart="星期一"),"日","一","二","三","四","五","六","日")</f>
        <v>日</v>
      </c>
      <c r="C16" s="8" t="str">
        <f t="shared" si="2"/>
        <v>一</v>
      </c>
      <c r="D16" s="8" t="str">
        <f t="shared" si="2"/>
        <v>二</v>
      </c>
      <c r="E16" s="8" t="str">
        <f t="shared" si="2"/>
        <v>三</v>
      </c>
      <c r="F16" s="8" t="str">
        <f t="shared" si="2"/>
        <v>四</v>
      </c>
      <c r="G16" s="8" t="str">
        <f t="shared" si="2"/>
        <v>五</v>
      </c>
      <c r="H16" s="8" t="str">
        <f t="shared" si="2"/>
        <v>六</v>
      </c>
      <c r="I16" s="9"/>
      <c r="J16" s="8" t="str">
        <f t="shared" ref="J16:P16" si="3">CHOOSE(COLUMN(A$1)+(WeekStart="星期一"),"日","一","二","三","四","五","六","日")</f>
        <v>日</v>
      </c>
      <c r="K16" s="8" t="str">
        <f t="shared" si="3"/>
        <v>一</v>
      </c>
      <c r="L16" s="8" t="str">
        <f t="shared" si="3"/>
        <v>二</v>
      </c>
      <c r="M16" s="8" t="str">
        <f t="shared" si="3"/>
        <v>三</v>
      </c>
      <c r="N16" s="8" t="str">
        <f t="shared" si="3"/>
        <v>四</v>
      </c>
      <c r="O16" s="8" t="str">
        <f t="shared" si="3"/>
        <v>五</v>
      </c>
      <c r="P16" s="8" t="str">
        <f t="shared" si="3"/>
        <v>六</v>
      </c>
      <c r="Q16" s="2"/>
    </row>
    <row r="17" spans="1:17" ht="17.25" x14ac:dyDescent="0.35">
      <c r="A17" s="4"/>
      <c r="B17" s="13">
        <f t="array" ref="B17:H17">Days+DATE(CalYear,MONTH($B$14),1)-WEEKDAY(DATE(CalYear,MONTH($B$14),1),(WeekStart="星期一")+1)+$A7*7-6</f>
        <v>42428</v>
      </c>
      <c r="C17" s="13">
        <v>42429</v>
      </c>
      <c r="D17" s="13">
        <v>42430</v>
      </c>
      <c r="E17" s="13">
        <v>42431</v>
      </c>
      <c r="F17" s="13">
        <v>42432</v>
      </c>
      <c r="G17" s="13">
        <v>42433</v>
      </c>
      <c r="H17" s="13">
        <v>42434</v>
      </c>
      <c r="I17" s="12"/>
      <c r="J17" s="13">
        <f t="array" ref="J17:P17">Days+DATE(CalYear,MONTH($J$14),1)-WEEKDAY(DATE(CalYear,MONTH($J$14),1),(WeekStart="星期一")+1)+$A7*7-6</f>
        <v>42456</v>
      </c>
      <c r="K17" s="13">
        <v>42457</v>
      </c>
      <c r="L17" s="13">
        <v>42458</v>
      </c>
      <c r="M17" s="13">
        <v>42459</v>
      </c>
      <c r="N17" s="13">
        <v>42460</v>
      </c>
      <c r="O17" s="13">
        <v>42461</v>
      </c>
      <c r="P17" s="13">
        <v>42462</v>
      </c>
      <c r="Q17" s="2"/>
    </row>
    <row r="18" spans="1:17" ht="16.5" x14ac:dyDescent="0.3">
      <c r="A18" s="4"/>
      <c r="B18" s="16">
        <f t="array" ref="B18:H18">Days+DATE(CalYear,MONTH($B$14),1)-WEEKDAY(DATE(CalYear,MONTH($B$14),1),(WeekStart="星期一")+1)+$A8*7-6</f>
        <v>42435</v>
      </c>
      <c r="C18" s="16">
        <v>42436</v>
      </c>
      <c r="D18" s="16">
        <v>42437</v>
      </c>
      <c r="E18" s="16">
        <v>42438</v>
      </c>
      <c r="F18" s="16">
        <v>42439</v>
      </c>
      <c r="G18" s="16">
        <v>42440</v>
      </c>
      <c r="H18" s="16">
        <v>42441</v>
      </c>
      <c r="I18" s="15"/>
      <c r="J18" s="16">
        <f t="array" ref="J18:P18">Days+DATE(CalYear,MONTH($J$14),1)-WEEKDAY(DATE(CalYear,MONTH($J$14),1),(WeekStart="星期一")+1)+$A8*7-6</f>
        <v>42463</v>
      </c>
      <c r="K18" s="16">
        <v>42464</v>
      </c>
      <c r="L18" s="16">
        <v>42465</v>
      </c>
      <c r="M18" s="16">
        <v>42466</v>
      </c>
      <c r="N18" s="16">
        <v>42467</v>
      </c>
      <c r="O18" s="16">
        <v>42468</v>
      </c>
      <c r="P18" s="16">
        <v>42469</v>
      </c>
      <c r="Q18" s="2"/>
    </row>
    <row r="19" spans="1:17" ht="16.5" x14ac:dyDescent="0.3">
      <c r="A19" s="4"/>
      <c r="B19" s="16">
        <f t="array" ref="B19:H19">Days+DATE(CalYear,MONTH($B$14),1)-WEEKDAY(DATE(CalYear,MONTH($B$14),1),(WeekStart="星期一")+1)+$A9*7-6</f>
        <v>42442</v>
      </c>
      <c r="C19" s="16">
        <v>42443</v>
      </c>
      <c r="D19" s="16">
        <v>42444</v>
      </c>
      <c r="E19" s="16">
        <v>42445</v>
      </c>
      <c r="F19" s="16">
        <v>42446</v>
      </c>
      <c r="G19" s="16">
        <v>42447</v>
      </c>
      <c r="H19" s="16">
        <v>42448</v>
      </c>
      <c r="I19" s="15"/>
      <c r="J19" s="16">
        <f t="array" ref="J19:P19">Days+DATE(CalYear,MONTH($J$14),1)-WEEKDAY(DATE(CalYear,MONTH($J$14),1),(WeekStart="星期一")+1)+$A9*7-6</f>
        <v>42470</v>
      </c>
      <c r="K19" s="16">
        <v>42471</v>
      </c>
      <c r="L19" s="16">
        <v>42472</v>
      </c>
      <c r="M19" s="16">
        <v>42473</v>
      </c>
      <c r="N19" s="16">
        <v>42474</v>
      </c>
      <c r="O19" s="16">
        <v>42475</v>
      </c>
      <c r="P19" s="16">
        <v>42476</v>
      </c>
      <c r="Q19" s="2"/>
    </row>
    <row r="20" spans="1:17" ht="16.5" x14ac:dyDescent="0.3">
      <c r="A20" s="4"/>
      <c r="B20" s="16">
        <f t="array" ref="B20:H20">Days+DATE(CalYear,MONTH($B$14),1)-WEEKDAY(DATE(CalYear,MONTH($B$14),1),(WeekStart="星期一")+1)+$A10*7-6</f>
        <v>42449</v>
      </c>
      <c r="C20" s="16">
        <v>42450</v>
      </c>
      <c r="D20" s="16">
        <v>42451</v>
      </c>
      <c r="E20" s="16">
        <v>42452</v>
      </c>
      <c r="F20" s="16">
        <v>42453</v>
      </c>
      <c r="G20" s="16">
        <v>42454</v>
      </c>
      <c r="H20" s="16">
        <v>42455</v>
      </c>
      <c r="I20" s="15"/>
      <c r="J20" s="16">
        <f t="array" ref="J20:P20">Days+DATE(CalYear,MONTH($J$14),1)-WEEKDAY(DATE(CalYear,MONTH($J$14),1),(WeekStart="星期一")+1)+$A10*7-6</f>
        <v>42477</v>
      </c>
      <c r="K20" s="16">
        <v>42478</v>
      </c>
      <c r="L20" s="16">
        <v>42479</v>
      </c>
      <c r="M20" s="16">
        <v>42480</v>
      </c>
      <c r="N20" s="16">
        <v>42481</v>
      </c>
      <c r="O20" s="16">
        <v>42482</v>
      </c>
      <c r="P20" s="16">
        <v>42483</v>
      </c>
      <c r="Q20" s="2"/>
    </row>
    <row r="21" spans="1:17" ht="16.5" x14ac:dyDescent="0.3">
      <c r="A21" s="4"/>
      <c r="B21" s="16">
        <f t="array" ref="B21:H21">Days+DATE(CalYear,MONTH($B$14),1)-WEEKDAY(DATE(CalYear,MONTH($B$14),1),(WeekStart="星期一")+1)+$A11*7-6</f>
        <v>42456</v>
      </c>
      <c r="C21" s="16">
        <v>42457</v>
      </c>
      <c r="D21" s="16">
        <v>42458</v>
      </c>
      <c r="E21" s="16">
        <v>42459</v>
      </c>
      <c r="F21" s="16">
        <v>42460</v>
      </c>
      <c r="G21" s="16">
        <v>42461</v>
      </c>
      <c r="H21" s="16">
        <v>42462</v>
      </c>
      <c r="I21" s="15"/>
      <c r="J21" s="16">
        <f t="array" ref="J21:P21">Days+DATE(CalYear,MONTH($J$14),1)-WEEKDAY(DATE(CalYear,MONTH($J$14),1),(WeekStart="星期一")+1)+$A11*7-6</f>
        <v>42484</v>
      </c>
      <c r="K21" s="16">
        <v>42485</v>
      </c>
      <c r="L21" s="16">
        <v>42486</v>
      </c>
      <c r="M21" s="16">
        <v>42487</v>
      </c>
      <c r="N21" s="16">
        <v>42488</v>
      </c>
      <c r="O21" s="16">
        <v>42489</v>
      </c>
      <c r="P21" s="16">
        <v>42490</v>
      </c>
      <c r="Q21" s="2"/>
    </row>
    <row r="22" spans="1:17" ht="16.5" x14ac:dyDescent="0.3">
      <c r="A22" s="4"/>
      <c r="B22" s="16">
        <f t="array" ref="B22:H22">Days+DATE(CalYear,MONTH($B$14),1)-WEEKDAY(DATE(CalYear,MONTH($B$14),1),(WeekStart="星期一")+1)+$A12*7-6</f>
        <v>42463</v>
      </c>
      <c r="C22" s="16">
        <v>42464</v>
      </c>
      <c r="D22" s="16">
        <v>42465</v>
      </c>
      <c r="E22" s="16">
        <v>42466</v>
      </c>
      <c r="F22" s="16">
        <v>42467</v>
      </c>
      <c r="G22" s="16">
        <v>42468</v>
      </c>
      <c r="H22" s="16">
        <v>42469</v>
      </c>
      <c r="I22" s="15"/>
      <c r="J22" s="16">
        <f t="array" ref="J22:P22">Days+DATE(CalYear,MONTH($J$14),1)-WEEKDAY(DATE(CalYear,MONTH($J$14),1),(WeekStart="星期一")+1)+$A12*7-6</f>
        <v>42491</v>
      </c>
      <c r="K22" s="16">
        <v>42492</v>
      </c>
      <c r="L22" s="16">
        <v>42493</v>
      </c>
      <c r="M22" s="16">
        <v>42494</v>
      </c>
      <c r="N22" s="16">
        <v>42495</v>
      </c>
      <c r="O22" s="16">
        <v>42496</v>
      </c>
      <c r="P22" s="16">
        <v>42497</v>
      </c>
      <c r="Q22" s="2"/>
    </row>
    <row r="23" spans="1:17" ht="6.75" customHeight="1" x14ac:dyDescent="0.3">
      <c r="A23" s="4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2"/>
    </row>
    <row r="24" spans="1:17" ht="6.75" customHeight="1" x14ac:dyDescent="0.3">
      <c r="A24" s="4"/>
      <c r="B24" s="18">
        <f>DATE(CalYear,5,1)</f>
        <v>42491</v>
      </c>
      <c r="C24" s="18"/>
      <c r="D24" s="18"/>
      <c r="E24" s="18"/>
      <c r="F24" s="18"/>
      <c r="G24" s="18"/>
      <c r="H24" s="18"/>
      <c r="I24" s="15"/>
      <c r="J24" s="18">
        <f>DATE(CalYear,6,1)</f>
        <v>42522</v>
      </c>
      <c r="K24" s="18"/>
      <c r="L24" s="18"/>
      <c r="M24" s="18"/>
      <c r="N24" s="18"/>
      <c r="O24" s="18"/>
      <c r="P24" s="18"/>
      <c r="Q24" s="2"/>
    </row>
    <row r="25" spans="1:17" ht="17.25" x14ac:dyDescent="0.3">
      <c r="A25" s="6"/>
      <c r="B25" s="19" t="str">
        <f>VLOOKUP(_xlfn.NUMBERVALUE(TEXT(B24,"M")),monthtb,2,FALSE)</f>
        <v>五月</v>
      </c>
      <c r="C25" s="19"/>
      <c r="D25" s="19"/>
      <c r="E25" s="19"/>
      <c r="F25" s="19"/>
      <c r="G25" s="19"/>
      <c r="H25" s="19"/>
      <c r="I25" s="9"/>
      <c r="J25" s="19" t="str">
        <f>VLOOKUP(_xlfn.NUMBERVALUE(TEXT(J24,"M")),monthtb,2,FALSE)</f>
        <v>六月</v>
      </c>
      <c r="K25" s="19"/>
      <c r="L25" s="19"/>
      <c r="M25" s="19"/>
      <c r="N25" s="19"/>
      <c r="O25" s="19"/>
      <c r="P25" s="19"/>
      <c r="Q25" s="2"/>
    </row>
    <row r="26" spans="1:17" ht="16.5" x14ac:dyDescent="0.3">
      <c r="A26" s="6"/>
      <c r="B26" s="8" t="str">
        <f t="shared" ref="B26:H26" si="4">CHOOSE(COLUMN(A$1)+(WeekStart="星期一"),"日","一","二","三","四","五","六","日")</f>
        <v>日</v>
      </c>
      <c r="C26" s="8" t="str">
        <f t="shared" si="4"/>
        <v>一</v>
      </c>
      <c r="D26" s="8" t="str">
        <f t="shared" si="4"/>
        <v>二</v>
      </c>
      <c r="E26" s="8" t="str">
        <f t="shared" si="4"/>
        <v>三</v>
      </c>
      <c r="F26" s="8" t="str">
        <f t="shared" si="4"/>
        <v>四</v>
      </c>
      <c r="G26" s="8" t="str">
        <f t="shared" si="4"/>
        <v>五</v>
      </c>
      <c r="H26" s="8" t="str">
        <f t="shared" si="4"/>
        <v>六</v>
      </c>
      <c r="I26" s="9"/>
      <c r="J26" s="8" t="str">
        <f t="shared" ref="J26:P26" si="5">CHOOSE(COLUMN(A$1)+(WeekStart="星期一"),"日","一","二","三","四","五","六","日")</f>
        <v>日</v>
      </c>
      <c r="K26" s="8" t="str">
        <f t="shared" si="5"/>
        <v>一</v>
      </c>
      <c r="L26" s="8" t="str">
        <f t="shared" si="5"/>
        <v>二</v>
      </c>
      <c r="M26" s="8" t="str">
        <f t="shared" si="5"/>
        <v>三</v>
      </c>
      <c r="N26" s="8" t="str">
        <f t="shared" si="5"/>
        <v>四</v>
      </c>
      <c r="O26" s="8" t="str">
        <f t="shared" si="5"/>
        <v>五</v>
      </c>
      <c r="P26" s="8" t="str">
        <f t="shared" si="5"/>
        <v>六</v>
      </c>
      <c r="Q26" s="2"/>
    </row>
    <row r="27" spans="1:17" ht="17.25" x14ac:dyDescent="0.35">
      <c r="A27" s="10">
        <v>1</v>
      </c>
      <c r="B27" s="13">
        <f t="array" ref="B27:H27">Days+DATE(CalYear,MONTH($B$24),1)-WEEKDAY(DATE(CalYear,MONTH($B$24),1),(WeekStart="星期一")+1)+$A27*7-6</f>
        <v>42491</v>
      </c>
      <c r="C27" s="13">
        <v>42492</v>
      </c>
      <c r="D27" s="13">
        <v>42493</v>
      </c>
      <c r="E27" s="13">
        <v>42494</v>
      </c>
      <c r="F27" s="13">
        <v>42495</v>
      </c>
      <c r="G27" s="13">
        <v>42496</v>
      </c>
      <c r="H27" s="13">
        <v>42497</v>
      </c>
      <c r="I27" s="12"/>
      <c r="J27" s="13">
        <f t="array" ref="J27:P27">Days+DATE(CalYear,MONTH($J$24),1)-WEEKDAY(DATE(CalYear,MONTH($J$24),1),(WeekStart="星期一")+1)+$A27*7-6</f>
        <v>42519</v>
      </c>
      <c r="K27" s="13">
        <v>42520</v>
      </c>
      <c r="L27" s="13">
        <v>42521</v>
      </c>
      <c r="M27" s="13">
        <v>42522</v>
      </c>
      <c r="N27" s="13">
        <v>42523</v>
      </c>
      <c r="O27" s="13">
        <v>42524</v>
      </c>
      <c r="P27" s="13">
        <v>42525</v>
      </c>
      <c r="Q27" s="2"/>
    </row>
    <row r="28" spans="1:17" ht="16.5" x14ac:dyDescent="0.3">
      <c r="A28" s="4">
        <v>2</v>
      </c>
      <c r="B28" s="16">
        <f t="array" ref="B28:H28">Days+DATE(CalYear,MONTH($B$24),1)-WEEKDAY(DATE(CalYear,MONTH($B$24),1),(WeekStart="星期一")+1)+$A28*7-6</f>
        <v>42498</v>
      </c>
      <c r="C28" s="16">
        <v>42499</v>
      </c>
      <c r="D28" s="16">
        <v>42500</v>
      </c>
      <c r="E28" s="16">
        <v>42501</v>
      </c>
      <c r="F28" s="16">
        <v>42502</v>
      </c>
      <c r="G28" s="16">
        <v>42503</v>
      </c>
      <c r="H28" s="16">
        <v>42504</v>
      </c>
      <c r="I28" s="15"/>
      <c r="J28" s="16">
        <f t="array" ref="J28:P28">Days+DATE(CalYear,MONTH($J$24),1)-WEEKDAY(DATE(CalYear,MONTH($J$24),1),(WeekStart="星期一")+1)+$A28*7-6</f>
        <v>42526</v>
      </c>
      <c r="K28" s="16">
        <v>42527</v>
      </c>
      <c r="L28" s="16">
        <v>42528</v>
      </c>
      <c r="M28" s="16">
        <v>42529</v>
      </c>
      <c r="N28" s="16">
        <v>42530</v>
      </c>
      <c r="O28" s="16">
        <v>42531</v>
      </c>
      <c r="P28" s="16">
        <v>42532</v>
      </c>
      <c r="Q28" s="2"/>
    </row>
    <row r="29" spans="1:17" ht="16.5" x14ac:dyDescent="0.3">
      <c r="A29" s="4">
        <v>3</v>
      </c>
      <c r="B29" s="16">
        <f t="array" ref="B29:H29">Days+DATE(CalYear,MONTH($B$24),1)-WEEKDAY(DATE(CalYear,MONTH($B$24),1),(WeekStart="星期一")+1)+$A29*7-6</f>
        <v>42505</v>
      </c>
      <c r="C29" s="16">
        <v>42506</v>
      </c>
      <c r="D29" s="16">
        <v>42507</v>
      </c>
      <c r="E29" s="16">
        <v>42508</v>
      </c>
      <c r="F29" s="16">
        <v>42509</v>
      </c>
      <c r="G29" s="16">
        <v>42510</v>
      </c>
      <c r="H29" s="16">
        <v>42511</v>
      </c>
      <c r="I29" s="15"/>
      <c r="J29" s="16">
        <f t="array" ref="J29:P29">Days+DATE(CalYear,MONTH($J$24),1)-WEEKDAY(DATE(CalYear,MONTH($J$24),1),(WeekStart="星期一")+1)+$A29*7-6</f>
        <v>42533</v>
      </c>
      <c r="K29" s="16">
        <v>42534</v>
      </c>
      <c r="L29" s="16">
        <v>42535</v>
      </c>
      <c r="M29" s="16">
        <v>42536</v>
      </c>
      <c r="N29" s="16">
        <v>42537</v>
      </c>
      <c r="O29" s="16">
        <v>42538</v>
      </c>
      <c r="P29" s="16">
        <v>42539</v>
      </c>
      <c r="Q29" s="2"/>
    </row>
    <row r="30" spans="1:17" ht="16.5" x14ac:dyDescent="0.3">
      <c r="A30" s="4">
        <v>4</v>
      </c>
      <c r="B30" s="16">
        <f t="array" ref="B30:H30">Days+DATE(CalYear,MONTH($B$24),1)-WEEKDAY(DATE(CalYear,MONTH($B$24),1),(WeekStart="星期一")+1)+$A30*7-6</f>
        <v>42512</v>
      </c>
      <c r="C30" s="16">
        <v>42513</v>
      </c>
      <c r="D30" s="16">
        <v>42514</v>
      </c>
      <c r="E30" s="16">
        <v>42515</v>
      </c>
      <c r="F30" s="16">
        <v>42516</v>
      </c>
      <c r="G30" s="16">
        <v>42517</v>
      </c>
      <c r="H30" s="16">
        <v>42518</v>
      </c>
      <c r="I30" s="15"/>
      <c r="J30" s="16">
        <f t="array" ref="J30:P30">Days+DATE(CalYear,MONTH($J$24),1)-WEEKDAY(DATE(CalYear,MONTH($J$24),1),(WeekStart="星期一")+1)+$A30*7-6</f>
        <v>42540</v>
      </c>
      <c r="K30" s="16">
        <v>42541</v>
      </c>
      <c r="L30" s="16">
        <v>42542</v>
      </c>
      <c r="M30" s="16">
        <v>42543</v>
      </c>
      <c r="N30" s="16">
        <v>42544</v>
      </c>
      <c r="O30" s="16">
        <v>42545</v>
      </c>
      <c r="P30" s="16">
        <v>42546</v>
      </c>
      <c r="Q30" s="2"/>
    </row>
    <row r="31" spans="1:17" ht="16.5" x14ac:dyDescent="0.3">
      <c r="A31" s="4">
        <v>5</v>
      </c>
      <c r="B31" s="16">
        <f t="array" ref="B31:H31">Days+DATE(CalYear,MONTH($B$24),1)-WEEKDAY(DATE(CalYear,MONTH($B$24),1),(WeekStart="星期一")+1)+$A31*7-6</f>
        <v>42519</v>
      </c>
      <c r="C31" s="16">
        <v>42520</v>
      </c>
      <c r="D31" s="16">
        <v>42521</v>
      </c>
      <c r="E31" s="16">
        <v>42522</v>
      </c>
      <c r="F31" s="16">
        <v>42523</v>
      </c>
      <c r="G31" s="16">
        <v>42524</v>
      </c>
      <c r="H31" s="16">
        <v>42525</v>
      </c>
      <c r="I31" s="15"/>
      <c r="J31" s="16">
        <f t="array" ref="J31:P31">Days+DATE(CalYear,MONTH($J$24),1)-WEEKDAY(DATE(CalYear,MONTH($J$24),1),(WeekStart="星期一")+1)+$A31*7-6</f>
        <v>42547</v>
      </c>
      <c r="K31" s="16">
        <v>42548</v>
      </c>
      <c r="L31" s="16">
        <v>42549</v>
      </c>
      <c r="M31" s="16">
        <v>42550</v>
      </c>
      <c r="N31" s="16">
        <v>42551</v>
      </c>
      <c r="O31" s="16">
        <v>42552</v>
      </c>
      <c r="P31" s="16">
        <v>42553</v>
      </c>
      <c r="Q31" s="2"/>
    </row>
    <row r="32" spans="1:17" ht="16.5" x14ac:dyDescent="0.3">
      <c r="A32" s="4">
        <v>6</v>
      </c>
      <c r="B32" s="16">
        <f t="array" ref="B32:H32">Days+DATE(CalYear,MONTH($B$24),1)-WEEKDAY(DATE(CalYear,MONTH($B$24),1),(WeekStart="星期一")+1)+$A32*7-6</f>
        <v>42526</v>
      </c>
      <c r="C32" s="16">
        <v>42527</v>
      </c>
      <c r="D32" s="16">
        <v>42528</v>
      </c>
      <c r="E32" s="16">
        <v>42529</v>
      </c>
      <c r="F32" s="16">
        <v>42530</v>
      </c>
      <c r="G32" s="16">
        <v>42531</v>
      </c>
      <c r="H32" s="16">
        <v>42532</v>
      </c>
      <c r="I32" s="15"/>
      <c r="J32" s="16">
        <f t="array" ref="J32:P32">Days+DATE(CalYear,MONTH($J$24),1)-WEEKDAY(DATE(CalYear,MONTH($J$24),1),(WeekStart="星期一")+1)+$A32*7-6</f>
        <v>42554</v>
      </c>
      <c r="K32" s="16">
        <v>42555</v>
      </c>
      <c r="L32" s="16">
        <v>42556</v>
      </c>
      <c r="M32" s="16">
        <v>42557</v>
      </c>
      <c r="N32" s="16">
        <v>42558</v>
      </c>
      <c r="O32" s="16">
        <v>42559</v>
      </c>
      <c r="P32" s="16">
        <v>42560</v>
      </c>
      <c r="Q32" s="2"/>
    </row>
    <row r="33" spans="1:17" ht="6.75" customHeight="1" x14ac:dyDescent="0.3">
      <c r="A33" s="4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2"/>
    </row>
    <row r="34" spans="1:17" ht="6.75" customHeight="1" x14ac:dyDescent="0.3">
      <c r="A34" s="4"/>
      <c r="B34" s="18">
        <f>DATE(CalYear,7,1)</f>
        <v>42552</v>
      </c>
      <c r="C34" s="18"/>
      <c r="D34" s="18"/>
      <c r="E34" s="18"/>
      <c r="F34" s="18"/>
      <c r="G34" s="18"/>
      <c r="H34" s="18"/>
      <c r="I34" s="15"/>
      <c r="J34" s="18">
        <f>DATE(CalYear,8,1)</f>
        <v>42583</v>
      </c>
      <c r="K34" s="18"/>
      <c r="L34" s="18"/>
      <c r="M34" s="18"/>
      <c r="N34" s="18"/>
      <c r="O34" s="18"/>
      <c r="P34" s="18"/>
      <c r="Q34" s="2"/>
    </row>
    <row r="35" spans="1:17" ht="17.25" x14ac:dyDescent="0.3">
      <c r="A35" s="4"/>
      <c r="B35" s="19" t="str">
        <f>VLOOKUP(_xlfn.NUMBERVALUE(TEXT(B34,"M")),monthtb,2,FALSE)</f>
        <v>七月</v>
      </c>
      <c r="C35" s="19"/>
      <c r="D35" s="19"/>
      <c r="E35" s="19"/>
      <c r="F35" s="19"/>
      <c r="G35" s="19"/>
      <c r="H35" s="19"/>
      <c r="I35" s="9"/>
      <c r="J35" s="19" t="str">
        <f>VLOOKUP(_xlfn.NUMBERVALUE(TEXT(J34,"M")),monthtb,2,FALSE)</f>
        <v>八月</v>
      </c>
      <c r="K35" s="19"/>
      <c r="L35" s="19"/>
      <c r="M35" s="19"/>
      <c r="N35" s="19"/>
      <c r="O35" s="19"/>
      <c r="P35" s="19"/>
      <c r="Q35" s="2"/>
    </row>
    <row r="36" spans="1:17" ht="16.5" x14ac:dyDescent="0.3">
      <c r="A36" s="6"/>
      <c r="B36" s="8" t="str">
        <f t="shared" ref="B36:H36" si="6">CHOOSE(COLUMN(A$1)+(WeekStart="星期一"),"日","一","二","三","四","五","六","日")</f>
        <v>日</v>
      </c>
      <c r="C36" s="8" t="str">
        <f t="shared" si="6"/>
        <v>一</v>
      </c>
      <c r="D36" s="8" t="str">
        <f t="shared" si="6"/>
        <v>二</v>
      </c>
      <c r="E36" s="8" t="str">
        <f t="shared" si="6"/>
        <v>三</v>
      </c>
      <c r="F36" s="8" t="str">
        <f t="shared" si="6"/>
        <v>四</v>
      </c>
      <c r="G36" s="8" t="str">
        <f t="shared" si="6"/>
        <v>五</v>
      </c>
      <c r="H36" s="8" t="str">
        <f t="shared" si="6"/>
        <v>六</v>
      </c>
      <c r="I36" s="9"/>
      <c r="J36" s="8" t="str">
        <f t="shared" ref="J36:P36" si="7">CHOOSE(COLUMN(A$1)+(WeekStart="星期一"),"日","一","二","三","四","五","六","日")</f>
        <v>日</v>
      </c>
      <c r="K36" s="8" t="str">
        <f t="shared" si="7"/>
        <v>一</v>
      </c>
      <c r="L36" s="8" t="str">
        <f t="shared" si="7"/>
        <v>二</v>
      </c>
      <c r="M36" s="8" t="str">
        <f t="shared" si="7"/>
        <v>三</v>
      </c>
      <c r="N36" s="8" t="str">
        <f t="shared" si="7"/>
        <v>四</v>
      </c>
      <c r="O36" s="8" t="str">
        <f t="shared" si="7"/>
        <v>五</v>
      </c>
      <c r="P36" s="8" t="str">
        <f t="shared" si="7"/>
        <v>六</v>
      </c>
      <c r="Q36" s="2"/>
    </row>
    <row r="37" spans="1:17" ht="17.25" x14ac:dyDescent="0.35">
      <c r="A37" s="4"/>
      <c r="B37" s="13">
        <f t="array" ref="B37:H37">Days+DATE(CalYear,MONTH($B$34),1)-WEEKDAY(DATE(CalYear,MONTH($B$34),1),(WeekStart="星期一")+1)+$A27*7-6</f>
        <v>42547</v>
      </c>
      <c r="C37" s="13">
        <v>42548</v>
      </c>
      <c r="D37" s="13">
        <v>42549</v>
      </c>
      <c r="E37" s="13">
        <v>42550</v>
      </c>
      <c r="F37" s="13">
        <v>42551</v>
      </c>
      <c r="G37" s="13">
        <v>42552</v>
      </c>
      <c r="H37" s="13">
        <v>42553</v>
      </c>
      <c r="I37" s="12"/>
      <c r="J37" s="13">
        <f t="array" ref="J37:P37">Days+DATE(CalYear,MONTH($J$34),1)-WEEKDAY(DATE(CalYear,MONTH($J$34),1),(WeekStart="星期一")+1)+$A27*7-6</f>
        <v>42582</v>
      </c>
      <c r="K37" s="13">
        <v>42583</v>
      </c>
      <c r="L37" s="13">
        <v>42584</v>
      </c>
      <c r="M37" s="13">
        <v>42585</v>
      </c>
      <c r="N37" s="13">
        <v>42586</v>
      </c>
      <c r="O37" s="13">
        <v>42587</v>
      </c>
      <c r="P37" s="13">
        <v>42588</v>
      </c>
      <c r="Q37" s="2"/>
    </row>
    <row r="38" spans="1:17" ht="16.5" x14ac:dyDescent="0.3">
      <c r="A38" s="4"/>
      <c r="B38" s="16">
        <f t="array" ref="B38:H38">Days+DATE(CalYear,MONTH($B$34),1)-WEEKDAY(DATE(CalYear,MONTH($B$34),1),(WeekStart="星期一")+1)+$A28*7-6</f>
        <v>42554</v>
      </c>
      <c r="C38" s="16">
        <v>42555</v>
      </c>
      <c r="D38" s="16">
        <v>42556</v>
      </c>
      <c r="E38" s="16">
        <v>42557</v>
      </c>
      <c r="F38" s="16">
        <v>42558</v>
      </c>
      <c r="G38" s="16">
        <v>42559</v>
      </c>
      <c r="H38" s="16">
        <v>42560</v>
      </c>
      <c r="I38" s="15"/>
      <c r="J38" s="16">
        <f t="array" ref="J38:P38">Days+DATE(CalYear,MONTH($J$34),1)-WEEKDAY(DATE(CalYear,MONTH($J$34),1),(WeekStart="星期一")+1)+$A28*7-6</f>
        <v>42589</v>
      </c>
      <c r="K38" s="16">
        <v>42590</v>
      </c>
      <c r="L38" s="16">
        <v>42591</v>
      </c>
      <c r="M38" s="16">
        <v>42592</v>
      </c>
      <c r="N38" s="16">
        <v>42593</v>
      </c>
      <c r="O38" s="16">
        <v>42594</v>
      </c>
      <c r="P38" s="16">
        <v>42595</v>
      </c>
      <c r="Q38" s="2"/>
    </row>
    <row r="39" spans="1:17" ht="16.5" x14ac:dyDescent="0.3">
      <c r="A39" s="4"/>
      <c r="B39" s="16">
        <f t="array" ref="B39:H39">Days+DATE(CalYear,MONTH($B$34),1)-WEEKDAY(DATE(CalYear,MONTH($B$34),1),(WeekStart="星期一")+1)+$A29*7-6</f>
        <v>42561</v>
      </c>
      <c r="C39" s="16">
        <v>42562</v>
      </c>
      <c r="D39" s="16">
        <v>42563</v>
      </c>
      <c r="E39" s="16">
        <v>42564</v>
      </c>
      <c r="F39" s="16">
        <v>42565</v>
      </c>
      <c r="G39" s="16">
        <v>42566</v>
      </c>
      <c r="H39" s="16">
        <v>42567</v>
      </c>
      <c r="I39" s="15"/>
      <c r="J39" s="16">
        <f t="array" ref="J39:P39">Days+DATE(CalYear,MONTH($J$34),1)-WEEKDAY(DATE(CalYear,MONTH($J$34),1),(WeekStart="星期一")+1)+$A29*7-6</f>
        <v>42596</v>
      </c>
      <c r="K39" s="16">
        <v>42597</v>
      </c>
      <c r="L39" s="16">
        <v>42598</v>
      </c>
      <c r="M39" s="16">
        <v>42599</v>
      </c>
      <c r="N39" s="16">
        <v>42600</v>
      </c>
      <c r="O39" s="16">
        <v>42601</v>
      </c>
      <c r="P39" s="16">
        <v>42602</v>
      </c>
      <c r="Q39" s="2"/>
    </row>
    <row r="40" spans="1:17" ht="16.5" x14ac:dyDescent="0.3">
      <c r="A40" s="4"/>
      <c r="B40" s="16">
        <f t="array" ref="B40:H40">Days+DATE(CalYear,MONTH($B$34),1)-WEEKDAY(DATE(CalYear,MONTH($B$34),1),(WeekStart="星期一")+1)+$A30*7-6</f>
        <v>42568</v>
      </c>
      <c r="C40" s="16">
        <v>42569</v>
      </c>
      <c r="D40" s="16">
        <v>42570</v>
      </c>
      <c r="E40" s="16">
        <v>42571</v>
      </c>
      <c r="F40" s="16">
        <v>42572</v>
      </c>
      <c r="G40" s="16">
        <v>42573</v>
      </c>
      <c r="H40" s="16">
        <v>42574</v>
      </c>
      <c r="I40" s="15"/>
      <c r="J40" s="16">
        <f t="array" ref="J40:P40">Days+DATE(CalYear,MONTH($J$34),1)-WEEKDAY(DATE(CalYear,MONTH($J$34),1),(WeekStart="星期一")+1)+$A30*7-6</f>
        <v>42603</v>
      </c>
      <c r="K40" s="16">
        <v>42604</v>
      </c>
      <c r="L40" s="16">
        <v>42605</v>
      </c>
      <c r="M40" s="16">
        <v>42606</v>
      </c>
      <c r="N40" s="16">
        <v>42607</v>
      </c>
      <c r="O40" s="16">
        <v>42608</v>
      </c>
      <c r="P40" s="16">
        <v>42609</v>
      </c>
      <c r="Q40" s="2"/>
    </row>
    <row r="41" spans="1:17" ht="16.5" x14ac:dyDescent="0.3">
      <c r="A41" s="4"/>
      <c r="B41" s="16">
        <f t="array" ref="B41:H41">Days+DATE(CalYear,MONTH($B$34),1)-WEEKDAY(DATE(CalYear,MONTH($B$34),1),(WeekStart="星期一")+1)+$A31*7-6</f>
        <v>42575</v>
      </c>
      <c r="C41" s="16">
        <v>42576</v>
      </c>
      <c r="D41" s="16">
        <v>42577</v>
      </c>
      <c r="E41" s="16">
        <v>42578</v>
      </c>
      <c r="F41" s="16">
        <v>42579</v>
      </c>
      <c r="G41" s="16">
        <v>42580</v>
      </c>
      <c r="H41" s="16">
        <v>42581</v>
      </c>
      <c r="I41" s="15"/>
      <c r="J41" s="16">
        <f t="array" ref="J41:P41">Days+DATE(CalYear,MONTH($J$34),1)-WEEKDAY(DATE(CalYear,MONTH($J$34),1),(WeekStart="星期一")+1)+$A31*7-6</f>
        <v>42610</v>
      </c>
      <c r="K41" s="16">
        <v>42611</v>
      </c>
      <c r="L41" s="16">
        <v>42612</v>
      </c>
      <c r="M41" s="16">
        <v>42613</v>
      </c>
      <c r="N41" s="16">
        <v>42614</v>
      </c>
      <c r="O41" s="16">
        <v>42615</v>
      </c>
      <c r="P41" s="16">
        <v>42616</v>
      </c>
      <c r="Q41" s="2"/>
    </row>
    <row r="42" spans="1:17" ht="16.5" x14ac:dyDescent="0.3">
      <c r="A42" s="4"/>
      <c r="B42" s="16">
        <f t="array" ref="B42:H42">Days+DATE(CalYear,MONTH($B$34),1)-WEEKDAY(DATE(CalYear,MONTH($B$34),1),(WeekStart="星期一")+1)+$A32*7-6</f>
        <v>42582</v>
      </c>
      <c r="C42" s="16">
        <v>42583</v>
      </c>
      <c r="D42" s="16">
        <v>42584</v>
      </c>
      <c r="E42" s="16">
        <v>42585</v>
      </c>
      <c r="F42" s="16">
        <v>42586</v>
      </c>
      <c r="G42" s="16">
        <v>42587</v>
      </c>
      <c r="H42" s="16">
        <v>42588</v>
      </c>
      <c r="I42" s="15"/>
      <c r="J42" s="16">
        <f t="array" ref="J42:P42">Days+DATE(CalYear,MONTH($J$34),1)-WEEKDAY(DATE(CalYear,MONTH($J$34),1),(WeekStart="星期一")+1)+$A32*7-6</f>
        <v>42617</v>
      </c>
      <c r="K42" s="16">
        <v>42618</v>
      </c>
      <c r="L42" s="16">
        <v>42619</v>
      </c>
      <c r="M42" s="16">
        <v>42620</v>
      </c>
      <c r="N42" s="16">
        <v>42621</v>
      </c>
      <c r="O42" s="16">
        <v>42622</v>
      </c>
      <c r="P42" s="16">
        <v>42623</v>
      </c>
      <c r="Q42" s="2"/>
    </row>
    <row r="43" spans="1:17" ht="6.75" customHeight="1" x14ac:dyDescent="0.3">
      <c r="A43" s="4"/>
      <c r="B43" s="16"/>
      <c r="C43" s="16"/>
      <c r="D43" s="16"/>
      <c r="E43" s="16"/>
      <c r="F43" s="16"/>
      <c r="G43" s="16"/>
      <c r="H43" s="16"/>
      <c r="I43" s="15"/>
      <c r="J43" s="16"/>
      <c r="K43" s="16"/>
      <c r="L43" s="16"/>
      <c r="M43" s="16"/>
      <c r="N43" s="16"/>
      <c r="O43" s="16"/>
      <c r="P43" s="16"/>
      <c r="Q43" s="2"/>
    </row>
    <row r="44" spans="1:17" ht="6.75" customHeight="1" x14ac:dyDescent="0.3">
      <c r="A44" s="4"/>
      <c r="B44" s="18">
        <f>DATE(CalYear,9,1)</f>
        <v>42614</v>
      </c>
      <c r="C44" s="18"/>
      <c r="D44" s="18"/>
      <c r="E44" s="18"/>
      <c r="F44" s="18"/>
      <c r="G44" s="18"/>
      <c r="H44" s="18"/>
      <c r="I44" s="15"/>
      <c r="J44" s="18">
        <f>DATE(CalYear,10,1)</f>
        <v>42644</v>
      </c>
      <c r="K44" s="18"/>
      <c r="L44" s="18"/>
      <c r="M44" s="18"/>
      <c r="N44" s="18"/>
      <c r="O44" s="18"/>
      <c r="P44" s="18"/>
      <c r="Q44" s="2"/>
    </row>
    <row r="45" spans="1:17" ht="17.25" x14ac:dyDescent="0.3">
      <c r="A45" s="6"/>
      <c r="B45" s="19" t="str">
        <f>VLOOKUP(_xlfn.NUMBERVALUE(TEXT(B44,"M")),monthtb,2,FALSE)</f>
        <v>九月</v>
      </c>
      <c r="C45" s="19"/>
      <c r="D45" s="19"/>
      <c r="E45" s="19"/>
      <c r="F45" s="19"/>
      <c r="G45" s="19"/>
      <c r="H45" s="19"/>
      <c r="I45" s="9"/>
      <c r="J45" s="19" t="str">
        <f>VLOOKUP(_xlfn.NUMBERVALUE(TEXT(J44,"M")),monthtb,2)</f>
        <v>十月</v>
      </c>
      <c r="K45" s="19"/>
      <c r="L45" s="19"/>
      <c r="M45" s="19"/>
      <c r="N45" s="19"/>
      <c r="O45" s="19"/>
      <c r="P45" s="19"/>
      <c r="Q45" s="2"/>
    </row>
    <row r="46" spans="1:17" ht="16.5" x14ac:dyDescent="0.3">
      <c r="A46" s="6"/>
      <c r="B46" s="8" t="str">
        <f t="shared" ref="B46:H46" si="8">CHOOSE(COLUMN(A$1)+(WeekStart="星期一"),"日","一","二","三","四","五","六","日")</f>
        <v>日</v>
      </c>
      <c r="C46" s="8" t="str">
        <f t="shared" si="8"/>
        <v>一</v>
      </c>
      <c r="D46" s="8" t="str">
        <f t="shared" si="8"/>
        <v>二</v>
      </c>
      <c r="E46" s="8" t="str">
        <f t="shared" si="8"/>
        <v>三</v>
      </c>
      <c r="F46" s="8" t="str">
        <f t="shared" si="8"/>
        <v>四</v>
      </c>
      <c r="G46" s="8" t="str">
        <f t="shared" si="8"/>
        <v>五</v>
      </c>
      <c r="H46" s="8" t="str">
        <f t="shared" si="8"/>
        <v>六</v>
      </c>
      <c r="I46" s="9"/>
      <c r="J46" s="8" t="str">
        <f t="shared" ref="J46:P46" si="9">CHOOSE(COLUMN(A$1)+(WeekStart="星期一"),"日","一","二","三","四","五","六","日")</f>
        <v>日</v>
      </c>
      <c r="K46" s="8" t="str">
        <f t="shared" si="9"/>
        <v>一</v>
      </c>
      <c r="L46" s="8" t="str">
        <f t="shared" si="9"/>
        <v>二</v>
      </c>
      <c r="M46" s="8" t="str">
        <f t="shared" si="9"/>
        <v>三</v>
      </c>
      <c r="N46" s="8" t="str">
        <f t="shared" si="9"/>
        <v>四</v>
      </c>
      <c r="O46" s="8" t="str">
        <f t="shared" si="9"/>
        <v>五</v>
      </c>
      <c r="P46" s="8" t="str">
        <f t="shared" si="9"/>
        <v>六</v>
      </c>
      <c r="Q46" s="2"/>
    </row>
    <row r="47" spans="1:17" ht="17.25" x14ac:dyDescent="0.35">
      <c r="A47" s="10">
        <v>1</v>
      </c>
      <c r="B47" s="13">
        <f t="array" ref="B47:H47">Days+DATE(CalYear,MONTH($B$44),1)-WEEKDAY(DATE(CalYear,MONTH($B$44),1),(WeekStart="星期一")+1)+$A47*7-6</f>
        <v>42610</v>
      </c>
      <c r="C47" s="13">
        <v>42611</v>
      </c>
      <c r="D47" s="13">
        <v>42612</v>
      </c>
      <c r="E47" s="13">
        <v>42613</v>
      </c>
      <c r="F47" s="13">
        <v>42614</v>
      </c>
      <c r="G47" s="13">
        <v>42615</v>
      </c>
      <c r="H47" s="13">
        <v>42616</v>
      </c>
      <c r="I47" s="12"/>
      <c r="J47" s="13">
        <f t="array" ref="J47:P47">Days+DATE(CalYear,MONTH($J$44),1)-WEEKDAY(DATE(CalYear,MONTH($J$44),1),(WeekStart="星期一")+1)+$A47*7-6</f>
        <v>42638</v>
      </c>
      <c r="K47" s="13">
        <v>42639</v>
      </c>
      <c r="L47" s="13">
        <v>42640</v>
      </c>
      <c r="M47" s="13">
        <v>42641</v>
      </c>
      <c r="N47" s="13">
        <v>42642</v>
      </c>
      <c r="O47" s="13">
        <v>42643</v>
      </c>
      <c r="P47" s="13">
        <v>42644</v>
      </c>
      <c r="Q47" s="2"/>
    </row>
    <row r="48" spans="1:17" ht="16.5" x14ac:dyDescent="0.3">
      <c r="A48" s="4">
        <v>2</v>
      </c>
      <c r="B48" s="16">
        <f t="array" ref="B48:H48">Days+DATE(CalYear,MONTH($B$44),1)-WEEKDAY(DATE(CalYear,MONTH($B$44),1),(WeekStart="星期一")+1)+$A48*7-6</f>
        <v>42617</v>
      </c>
      <c r="C48" s="16">
        <v>42618</v>
      </c>
      <c r="D48" s="16">
        <v>42619</v>
      </c>
      <c r="E48" s="16">
        <v>42620</v>
      </c>
      <c r="F48" s="16">
        <v>42621</v>
      </c>
      <c r="G48" s="16">
        <v>42622</v>
      </c>
      <c r="H48" s="16">
        <v>42623</v>
      </c>
      <c r="I48" s="15"/>
      <c r="J48" s="16">
        <f t="array" ref="J48:P48">Days+DATE(CalYear,MONTH($J$44),1)-WEEKDAY(DATE(CalYear,MONTH($J$44),1),(WeekStart="星期一")+1)+$A48*7-6</f>
        <v>42645</v>
      </c>
      <c r="K48" s="16">
        <v>42646</v>
      </c>
      <c r="L48" s="16">
        <v>42647</v>
      </c>
      <c r="M48" s="16">
        <v>42648</v>
      </c>
      <c r="N48" s="16">
        <v>42649</v>
      </c>
      <c r="O48" s="16">
        <v>42650</v>
      </c>
      <c r="P48" s="16">
        <v>42651</v>
      </c>
      <c r="Q48" s="2"/>
    </row>
    <row r="49" spans="1:17" ht="16.5" x14ac:dyDescent="0.3">
      <c r="A49" s="4">
        <v>3</v>
      </c>
      <c r="B49" s="16">
        <f t="array" ref="B49:H49">Days+DATE(CalYear,MONTH($B$44),1)-WEEKDAY(DATE(CalYear,MONTH($B$44),1),(WeekStart="星期一")+1)+$A49*7-6</f>
        <v>42624</v>
      </c>
      <c r="C49" s="16">
        <v>42625</v>
      </c>
      <c r="D49" s="16">
        <v>42626</v>
      </c>
      <c r="E49" s="16">
        <v>42627</v>
      </c>
      <c r="F49" s="16">
        <v>42628</v>
      </c>
      <c r="G49" s="16">
        <v>42629</v>
      </c>
      <c r="H49" s="16">
        <v>42630</v>
      </c>
      <c r="I49" s="15"/>
      <c r="J49" s="16">
        <f t="array" ref="J49:P49">Days+DATE(CalYear,MONTH($J$44),1)-WEEKDAY(DATE(CalYear,MONTH($J$44),1),(WeekStart="星期一")+1)+$A49*7-6</f>
        <v>42652</v>
      </c>
      <c r="K49" s="16">
        <v>42653</v>
      </c>
      <c r="L49" s="16">
        <v>42654</v>
      </c>
      <c r="M49" s="16">
        <v>42655</v>
      </c>
      <c r="N49" s="16">
        <v>42656</v>
      </c>
      <c r="O49" s="16">
        <v>42657</v>
      </c>
      <c r="P49" s="16">
        <v>42658</v>
      </c>
      <c r="Q49" s="2"/>
    </row>
    <row r="50" spans="1:17" ht="16.5" x14ac:dyDescent="0.3">
      <c r="A50" s="4">
        <v>4</v>
      </c>
      <c r="B50" s="16">
        <f t="array" ref="B50:H50">Days+DATE(CalYear,MONTH($B$44),1)-WEEKDAY(DATE(CalYear,MONTH($B$44),1),(WeekStart="星期一")+1)+$A50*7-6</f>
        <v>42631</v>
      </c>
      <c r="C50" s="16">
        <v>42632</v>
      </c>
      <c r="D50" s="16">
        <v>42633</v>
      </c>
      <c r="E50" s="16">
        <v>42634</v>
      </c>
      <c r="F50" s="16">
        <v>42635</v>
      </c>
      <c r="G50" s="16">
        <v>42636</v>
      </c>
      <c r="H50" s="16">
        <v>42637</v>
      </c>
      <c r="I50" s="15"/>
      <c r="J50" s="16">
        <f t="array" ref="J50:P50">Days+DATE(CalYear,MONTH($J$44),1)-WEEKDAY(DATE(CalYear,MONTH($J$44),1),(WeekStart="星期一")+1)+$A50*7-6</f>
        <v>42659</v>
      </c>
      <c r="K50" s="16">
        <v>42660</v>
      </c>
      <c r="L50" s="16">
        <v>42661</v>
      </c>
      <c r="M50" s="16">
        <v>42662</v>
      </c>
      <c r="N50" s="16">
        <v>42663</v>
      </c>
      <c r="O50" s="16">
        <v>42664</v>
      </c>
      <c r="P50" s="16">
        <v>42665</v>
      </c>
      <c r="Q50" s="2"/>
    </row>
    <row r="51" spans="1:17" ht="16.5" x14ac:dyDescent="0.3">
      <c r="A51" s="4">
        <v>5</v>
      </c>
      <c r="B51" s="16">
        <f t="array" ref="B51:H51">Days+DATE(CalYear,MONTH($B$44),1)-WEEKDAY(DATE(CalYear,MONTH($B$44),1),(WeekStart="星期一")+1)+$A51*7-6</f>
        <v>42638</v>
      </c>
      <c r="C51" s="16">
        <v>42639</v>
      </c>
      <c r="D51" s="16">
        <v>42640</v>
      </c>
      <c r="E51" s="16">
        <v>42641</v>
      </c>
      <c r="F51" s="16">
        <v>42642</v>
      </c>
      <c r="G51" s="16">
        <v>42643</v>
      </c>
      <c r="H51" s="16">
        <v>42644</v>
      </c>
      <c r="I51" s="15"/>
      <c r="J51" s="16">
        <f t="array" ref="J51:P51">Days+DATE(CalYear,MONTH($J$44),1)-WEEKDAY(DATE(CalYear,MONTH($J$44),1),(WeekStart="星期一")+1)+$A51*7-6</f>
        <v>42666</v>
      </c>
      <c r="K51" s="16">
        <v>42667</v>
      </c>
      <c r="L51" s="16">
        <v>42668</v>
      </c>
      <c r="M51" s="16">
        <v>42669</v>
      </c>
      <c r="N51" s="16">
        <v>42670</v>
      </c>
      <c r="O51" s="16">
        <v>42671</v>
      </c>
      <c r="P51" s="16">
        <v>42672</v>
      </c>
      <c r="Q51" s="2"/>
    </row>
    <row r="52" spans="1:17" ht="16.5" x14ac:dyDescent="0.3">
      <c r="A52" s="4">
        <v>6</v>
      </c>
      <c r="B52" s="16">
        <f t="array" ref="B52:H52">Days+DATE(CalYear,MONTH($B$44),1)-WEEKDAY(DATE(CalYear,MONTH($B$44),1),(WeekStart="星期一")+1)+$A52*7-6</f>
        <v>42645</v>
      </c>
      <c r="C52" s="16">
        <v>42646</v>
      </c>
      <c r="D52" s="16">
        <v>42647</v>
      </c>
      <c r="E52" s="16">
        <v>42648</v>
      </c>
      <c r="F52" s="16">
        <v>42649</v>
      </c>
      <c r="G52" s="16">
        <v>42650</v>
      </c>
      <c r="H52" s="16">
        <v>42651</v>
      </c>
      <c r="I52" s="15"/>
      <c r="J52" s="16">
        <f t="array" ref="J52:P52">Days+DATE(CalYear,MONTH($J$44),1)-WEEKDAY(DATE(CalYear,MONTH($J$44),1),(WeekStart="星期一")+1)+$A52*7-6</f>
        <v>42673</v>
      </c>
      <c r="K52" s="16">
        <v>42674</v>
      </c>
      <c r="L52" s="16">
        <v>42675</v>
      </c>
      <c r="M52" s="16">
        <v>42676</v>
      </c>
      <c r="N52" s="16">
        <v>42677</v>
      </c>
      <c r="O52" s="16">
        <v>42678</v>
      </c>
      <c r="P52" s="16">
        <v>42679</v>
      </c>
      <c r="Q52" s="2"/>
    </row>
    <row r="53" spans="1:17" ht="6.75" customHeight="1" x14ac:dyDescent="0.3">
      <c r="A53" s="3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2"/>
    </row>
    <row r="54" spans="1:17" ht="6.75" customHeight="1" x14ac:dyDescent="0.3">
      <c r="A54" s="3"/>
      <c r="B54" s="18">
        <f>DATE(CalYear,11,1)</f>
        <v>42675</v>
      </c>
      <c r="C54" s="18"/>
      <c r="D54" s="18"/>
      <c r="E54" s="18"/>
      <c r="F54" s="18"/>
      <c r="G54" s="18"/>
      <c r="H54" s="18"/>
      <c r="I54" s="15"/>
      <c r="J54" s="18">
        <f>DATE(CalYear,12,1)</f>
        <v>42705</v>
      </c>
      <c r="K54" s="18"/>
      <c r="L54" s="18"/>
      <c r="M54" s="18"/>
      <c r="N54" s="18"/>
      <c r="O54" s="18"/>
      <c r="P54" s="18"/>
      <c r="Q54" s="2"/>
    </row>
    <row r="55" spans="1:17" ht="17.25" x14ac:dyDescent="0.3">
      <c r="A55" s="3"/>
      <c r="B55" s="19" t="str">
        <f>VLOOKUP(_xlfn.NUMBERVALUE(TEXT(B54,"M")),monthtb,2,FALSE)</f>
        <v>十一月</v>
      </c>
      <c r="C55" s="19"/>
      <c r="D55" s="19"/>
      <c r="E55" s="19"/>
      <c r="F55" s="19"/>
      <c r="G55" s="19"/>
      <c r="H55" s="19"/>
      <c r="I55" s="9"/>
      <c r="J55" s="19" t="str">
        <f>VLOOKUP(_xlfn.NUMBERVALUE(TEXT(J54,"M")),monthtb,2,FALSE)</f>
        <v>十二月</v>
      </c>
      <c r="K55" s="19"/>
      <c r="L55" s="19"/>
      <c r="M55" s="19"/>
      <c r="N55" s="19"/>
      <c r="O55" s="19"/>
      <c r="P55" s="19"/>
      <c r="Q55" s="2"/>
    </row>
    <row r="56" spans="1:17" ht="16.5" x14ac:dyDescent="0.3">
      <c r="A56" s="6"/>
      <c r="B56" s="8" t="str">
        <f t="shared" ref="B56:H56" si="10">CHOOSE(COLUMN(A$1)+(WeekStart="星期一"),"日","一","二","三","四","五","六","日")</f>
        <v>日</v>
      </c>
      <c r="C56" s="8" t="str">
        <f t="shared" si="10"/>
        <v>一</v>
      </c>
      <c r="D56" s="8" t="str">
        <f t="shared" si="10"/>
        <v>二</v>
      </c>
      <c r="E56" s="8" t="str">
        <f t="shared" si="10"/>
        <v>三</v>
      </c>
      <c r="F56" s="8" t="str">
        <f t="shared" si="10"/>
        <v>四</v>
      </c>
      <c r="G56" s="8" t="str">
        <f t="shared" si="10"/>
        <v>五</v>
      </c>
      <c r="H56" s="8" t="str">
        <f t="shared" si="10"/>
        <v>六</v>
      </c>
      <c r="I56" s="9"/>
      <c r="J56" s="8" t="str">
        <f t="shared" ref="J56:P56" si="11">CHOOSE(COLUMN(A$1)+(WeekStart="星期一"),"日","一","二","三","四","五","六","日")</f>
        <v>日</v>
      </c>
      <c r="K56" s="8" t="str">
        <f t="shared" si="11"/>
        <v>一</v>
      </c>
      <c r="L56" s="8" t="str">
        <f t="shared" si="11"/>
        <v>二</v>
      </c>
      <c r="M56" s="8" t="str">
        <f t="shared" si="11"/>
        <v>三</v>
      </c>
      <c r="N56" s="8" t="str">
        <f t="shared" si="11"/>
        <v>四</v>
      </c>
      <c r="O56" s="8" t="str">
        <f t="shared" si="11"/>
        <v>五</v>
      </c>
      <c r="P56" s="8" t="str">
        <f t="shared" si="11"/>
        <v>六</v>
      </c>
      <c r="Q56" s="2"/>
    </row>
    <row r="57" spans="1:17" ht="17.25" x14ac:dyDescent="0.35">
      <c r="A57" s="3"/>
      <c r="B57" s="13">
        <f t="array" ref="B57:H57">Days+DATE(CalYear,MONTH($B$54),1)-WEEKDAY(DATE(CalYear,MONTH($B$54),1),(WeekStart="星期一")+1)+$A47*7-6</f>
        <v>42673</v>
      </c>
      <c r="C57" s="13">
        <v>42674</v>
      </c>
      <c r="D57" s="13">
        <v>42675</v>
      </c>
      <c r="E57" s="13">
        <v>42676</v>
      </c>
      <c r="F57" s="13">
        <v>42677</v>
      </c>
      <c r="G57" s="13">
        <v>42678</v>
      </c>
      <c r="H57" s="13">
        <v>42679</v>
      </c>
      <c r="I57" s="12"/>
      <c r="J57" s="13">
        <f t="array" ref="J57:P57">Days+DATE(CalYear,MONTH($J$54),1)-WEEKDAY(DATE(CalYear,MONTH($J$54),1),(WeekStart="星期一")+1)+$A47*7-6</f>
        <v>42701</v>
      </c>
      <c r="K57" s="13">
        <v>42702</v>
      </c>
      <c r="L57" s="13">
        <v>42703</v>
      </c>
      <c r="M57" s="13">
        <v>42704</v>
      </c>
      <c r="N57" s="13">
        <v>42705</v>
      </c>
      <c r="O57" s="13">
        <v>42706</v>
      </c>
      <c r="P57" s="13">
        <v>42707</v>
      </c>
      <c r="Q57" s="2"/>
    </row>
    <row r="58" spans="1:17" ht="16.5" x14ac:dyDescent="0.3">
      <c r="A58" s="3"/>
      <c r="B58" s="16">
        <f t="array" ref="B58:H58">Days+DATE(CalYear,MONTH($B$54),1)-WEEKDAY(DATE(CalYear,MONTH($B$54),1),(WeekStart="星期一")+1)+$A48*7-6</f>
        <v>42680</v>
      </c>
      <c r="C58" s="16">
        <v>42681</v>
      </c>
      <c r="D58" s="16">
        <v>42682</v>
      </c>
      <c r="E58" s="16">
        <v>42683</v>
      </c>
      <c r="F58" s="16">
        <v>42684</v>
      </c>
      <c r="G58" s="16">
        <v>42685</v>
      </c>
      <c r="H58" s="16">
        <v>42686</v>
      </c>
      <c r="I58" s="15"/>
      <c r="J58" s="16">
        <f t="array" ref="J58:P58">Days+DATE(CalYear,MONTH($J$54),1)-WEEKDAY(DATE(CalYear,MONTH($J$54),1),(WeekStart="星期一")+1)+$A48*7-6</f>
        <v>42708</v>
      </c>
      <c r="K58" s="16">
        <v>42709</v>
      </c>
      <c r="L58" s="16">
        <v>42710</v>
      </c>
      <c r="M58" s="16">
        <v>42711</v>
      </c>
      <c r="N58" s="16">
        <v>42712</v>
      </c>
      <c r="O58" s="16">
        <v>42713</v>
      </c>
      <c r="P58" s="16">
        <v>42714</v>
      </c>
      <c r="Q58" s="2"/>
    </row>
    <row r="59" spans="1:17" ht="16.5" x14ac:dyDescent="0.3">
      <c r="A59" s="3"/>
      <c r="B59" s="16">
        <f t="array" ref="B59:H59">Days+DATE(CalYear,MONTH($B$54),1)-WEEKDAY(DATE(CalYear,MONTH($B$54),1),(WeekStart="星期一")+1)+$A49*7-6</f>
        <v>42687</v>
      </c>
      <c r="C59" s="16">
        <v>42688</v>
      </c>
      <c r="D59" s="16">
        <v>42689</v>
      </c>
      <c r="E59" s="16">
        <v>42690</v>
      </c>
      <c r="F59" s="16">
        <v>42691</v>
      </c>
      <c r="G59" s="16">
        <v>42692</v>
      </c>
      <c r="H59" s="16">
        <v>42693</v>
      </c>
      <c r="I59" s="15"/>
      <c r="J59" s="16">
        <f t="array" ref="J59:P59">Days+DATE(CalYear,MONTH($J$54),1)-WEEKDAY(DATE(CalYear,MONTH($J$54),1),(WeekStart="星期一")+1)+$A49*7-6</f>
        <v>42715</v>
      </c>
      <c r="K59" s="16">
        <v>42716</v>
      </c>
      <c r="L59" s="16">
        <v>42717</v>
      </c>
      <c r="M59" s="16">
        <v>42718</v>
      </c>
      <c r="N59" s="16">
        <v>42719</v>
      </c>
      <c r="O59" s="16">
        <v>42720</v>
      </c>
      <c r="P59" s="16">
        <v>42721</v>
      </c>
      <c r="Q59" s="2"/>
    </row>
    <row r="60" spans="1:17" ht="16.5" x14ac:dyDescent="0.3">
      <c r="A60" s="3"/>
      <c r="B60" s="16">
        <f t="array" ref="B60:H60">Days+DATE(CalYear,MONTH($B$54),1)-WEEKDAY(DATE(CalYear,MONTH($B$54),1),(WeekStart="星期一")+1)+$A50*7-6</f>
        <v>42694</v>
      </c>
      <c r="C60" s="16">
        <v>42695</v>
      </c>
      <c r="D60" s="16">
        <v>42696</v>
      </c>
      <c r="E60" s="16">
        <v>42697</v>
      </c>
      <c r="F60" s="16">
        <v>42698</v>
      </c>
      <c r="G60" s="16">
        <v>42699</v>
      </c>
      <c r="H60" s="16">
        <v>42700</v>
      </c>
      <c r="I60" s="15"/>
      <c r="J60" s="16">
        <f t="array" ref="J60:P60">Days+DATE(CalYear,MONTH($J$54),1)-WEEKDAY(DATE(CalYear,MONTH($J$54),1),(WeekStart="星期一")+1)+$A50*7-6</f>
        <v>42722</v>
      </c>
      <c r="K60" s="16">
        <v>42723</v>
      </c>
      <c r="L60" s="16">
        <v>42724</v>
      </c>
      <c r="M60" s="16">
        <v>42725</v>
      </c>
      <c r="N60" s="16">
        <v>42726</v>
      </c>
      <c r="O60" s="16">
        <v>42727</v>
      </c>
      <c r="P60" s="16">
        <v>42728</v>
      </c>
      <c r="Q60" s="2"/>
    </row>
    <row r="61" spans="1:17" ht="16.5" x14ac:dyDescent="0.3">
      <c r="A61" s="3"/>
      <c r="B61" s="16">
        <f t="array" ref="B61:H61">Days+DATE(CalYear,MONTH($B$54),1)-WEEKDAY(DATE(CalYear,MONTH($B$54),1),(WeekStart="星期一")+1)+$A51*7-6</f>
        <v>42701</v>
      </c>
      <c r="C61" s="16">
        <v>42702</v>
      </c>
      <c r="D61" s="16">
        <v>42703</v>
      </c>
      <c r="E61" s="16">
        <v>42704</v>
      </c>
      <c r="F61" s="16">
        <v>42705</v>
      </c>
      <c r="G61" s="16">
        <v>42706</v>
      </c>
      <c r="H61" s="16">
        <v>42707</v>
      </c>
      <c r="I61" s="15"/>
      <c r="J61" s="16">
        <f t="array" ref="J61:P61">Days+DATE(CalYear,MONTH($J$54),1)-WEEKDAY(DATE(CalYear,MONTH($J$54),1),(WeekStart="星期一")+1)+$A51*7-6</f>
        <v>42729</v>
      </c>
      <c r="K61" s="16">
        <v>42730</v>
      </c>
      <c r="L61" s="16">
        <v>42731</v>
      </c>
      <c r="M61" s="16">
        <v>42732</v>
      </c>
      <c r="N61" s="16">
        <v>42733</v>
      </c>
      <c r="O61" s="16">
        <v>42734</v>
      </c>
      <c r="P61" s="16">
        <v>42735</v>
      </c>
      <c r="Q61" s="2"/>
    </row>
    <row r="62" spans="1:17" ht="16.5" x14ac:dyDescent="0.3">
      <c r="A62" s="3"/>
      <c r="B62" s="16">
        <f t="array" ref="B62:H62">Days+DATE(CalYear,MONTH($B$54),1)-WEEKDAY(DATE(CalYear,MONTH($B$54),1),(WeekStart="星期一")+1)+$A52*7-6</f>
        <v>42708</v>
      </c>
      <c r="C62" s="16">
        <v>42709</v>
      </c>
      <c r="D62" s="16">
        <v>42710</v>
      </c>
      <c r="E62" s="16">
        <v>42711</v>
      </c>
      <c r="F62" s="16">
        <v>42712</v>
      </c>
      <c r="G62" s="16">
        <v>42713</v>
      </c>
      <c r="H62" s="16">
        <v>42714</v>
      </c>
      <c r="I62" s="15"/>
      <c r="J62" s="16">
        <f t="array" ref="J62:P62">Days+DATE(CalYear,MONTH($J$54),1)-WEEKDAY(DATE(CalYear,MONTH($J$54),1),(WeekStart="星期一")+1)+$A52*7-6</f>
        <v>42736</v>
      </c>
      <c r="K62" s="16">
        <v>42737</v>
      </c>
      <c r="L62" s="16">
        <v>42738</v>
      </c>
      <c r="M62" s="16">
        <v>42739</v>
      </c>
      <c r="N62" s="16">
        <v>42740</v>
      </c>
      <c r="O62" s="16">
        <v>42741</v>
      </c>
      <c r="P62" s="16">
        <v>42742</v>
      </c>
      <c r="Q62" s="2"/>
    </row>
    <row r="63" spans="1:17" ht="6.75" customHeight="1" x14ac:dyDescent="0.3">
      <c r="A63" s="3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spans="1:17" ht="16.5" x14ac:dyDescent="0.3">
      <c r="A64" s="3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</sheetData>
  <mergeCells count="25">
    <mergeCell ref="B2:P2"/>
    <mergeCell ref="B45:H45"/>
    <mergeCell ref="J45:P45"/>
    <mergeCell ref="B55:H55"/>
    <mergeCell ref="J55:P55"/>
    <mergeCell ref="B4:H4"/>
    <mergeCell ref="J4:P4"/>
    <mergeCell ref="B14:H14"/>
    <mergeCell ref="J14:P14"/>
    <mergeCell ref="B25:H25"/>
    <mergeCell ref="J25:P25"/>
    <mergeCell ref="B35:H35"/>
    <mergeCell ref="J35:P35"/>
    <mergeCell ref="B44:H44"/>
    <mergeCell ref="J44:P44"/>
    <mergeCell ref="B54:H54"/>
    <mergeCell ref="J54:P54"/>
    <mergeCell ref="B5:H5"/>
    <mergeCell ref="J5:P5"/>
    <mergeCell ref="B15:H15"/>
    <mergeCell ref="J15:P15"/>
    <mergeCell ref="B24:H24"/>
    <mergeCell ref="J24:P24"/>
    <mergeCell ref="B34:H34"/>
    <mergeCell ref="J34:P34"/>
  </mergeCells>
  <phoneticPr fontId="6" type="noConversion"/>
  <conditionalFormatting sqref="B7:H7">
    <cfRule type="expression" dxfId="23" priority="24">
      <formula>DAY(B7)&gt;7</formula>
    </cfRule>
  </conditionalFormatting>
  <conditionalFormatting sqref="J7:P7">
    <cfRule type="expression" dxfId="22" priority="23">
      <formula>DAY(J7)&gt;7</formula>
    </cfRule>
  </conditionalFormatting>
  <conditionalFormatting sqref="B17:H17">
    <cfRule type="expression" dxfId="21" priority="22">
      <formula>DAY(B17)&gt;7</formula>
    </cfRule>
  </conditionalFormatting>
  <conditionalFormatting sqref="J17:P17">
    <cfRule type="expression" dxfId="20" priority="21">
      <formula>DAY(J17)&gt;7</formula>
    </cfRule>
  </conditionalFormatting>
  <conditionalFormatting sqref="J37:P37">
    <cfRule type="expression" dxfId="19" priority="20">
      <formula>DAY(J37)&gt;7</formula>
    </cfRule>
  </conditionalFormatting>
  <conditionalFormatting sqref="B37:H37">
    <cfRule type="expression" dxfId="18" priority="19">
      <formula>DAY(B37)&gt;7</formula>
    </cfRule>
  </conditionalFormatting>
  <conditionalFormatting sqref="J27:P27">
    <cfRule type="expression" dxfId="17" priority="18">
      <formula>DAY(J27)&gt;7</formula>
    </cfRule>
  </conditionalFormatting>
  <conditionalFormatting sqref="B27:H27">
    <cfRule type="expression" dxfId="16" priority="17">
      <formula>DAY(B27)&gt;7</formula>
    </cfRule>
  </conditionalFormatting>
  <conditionalFormatting sqref="B47:H47">
    <cfRule type="expression" dxfId="15" priority="16">
      <formula>DAY(B47)&gt;7</formula>
    </cfRule>
  </conditionalFormatting>
  <conditionalFormatting sqref="J47:P47">
    <cfRule type="expression" dxfId="14" priority="15">
      <formula>DAY(J47)&gt;7</formula>
    </cfRule>
  </conditionalFormatting>
  <conditionalFormatting sqref="B57:H57">
    <cfRule type="expression" dxfId="13" priority="14">
      <formula>DAY(B57)&gt;7</formula>
    </cfRule>
  </conditionalFormatting>
  <conditionalFormatting sqref="J57:P57">
    <cfRule type="expression" dxfId="12" priority="13">
      <formula>DAY(J57)&gt;7</formula>
    </cfRule>
  </conditionalFormatting>
  <conditionalFormatting sqref="B11:H12">
    <cfRule type="expression" dxfId="11" priority="12">
      <formula>DAY(B11)&lt;15</formula>
    </cfRule>
  </conditionalFormatting>
  <conditionalFormatting sqref="J11:P12">
    <cfRule type="expression" dxfId="10" priority="11">
      <formula>DAY(J11)&lt;15</formula>
    </cfRule>
  </conditionalFormatting>
  <conditionalFormatting sqref="B21:H22">
    <cfRule type="expression" dxfId="9" priority="10">
      <formula>DAY(B21)&lt;15</formula>
    </cfRule>
  </conditionalFormatting>
  <conditionalFormatting sqref="J21:P22">
    <cfRule type="expression" dxfId="8" priority="9">
      <formula>DAY(J21)&lt;15</formula>
    </cfRule>
  </conditionalFormatting>
  <conditionalFormatting sqref="J41:P43">
    <cfRule type="expression" dxfId="7" priority="8">
      <formula>DAY(J41)&lt;15</formula>
    </cfRule>
  </conditionalFormatting>
  <conditionalFormatting sqref="B41:H43">
    <cfRule type="expression" dxfId="6" priority="7">
      <formula>DAY(B41)&lt;15</formula>
    </cfRule>
  </conditionalFormatting>
  <conditionalFormatting sqref="J31:P32">
    <cfRule type="expression" dxfId="5" priority="6">
      <formula>DAY(J31)&lt;15</formula>
    </cfRule>
  </conditionalFormatting>
  <conditionalFormatting sqref="B31:H32">
    <cfRule type="expression" dxfId="4" priority="5">
      <formula>DAY(B31)&lt;15</formula>
    </cfRule>
  </conditionalFormatting>
  <conditionalFormatting sqref="B51:H52">
    <cfRule type="expression" dxfId="3" priority="4">
      <formula>DAY(B51)&lt;15</formula>
    </cfRule>
  </conditionalFormatting>
  <conditionalFormatting sqref="J51:P52">
    <cfRule type="expression" dxfId="2" priority="3">
      <formula>DAY(J51)&lt;15</formula>
    </cfRule>
  </conditionalFormatting>
  <conditionalFormatting sqref="B61:H62">
    <cfRule type="expression" dxfId="1" priority="2">
      <formula>DAY(B61)&lt;15</formula>
    </cfRule>
  </conditionalFormatting>
  <conditionalFormatting sqref="J61:P62">
    <cfRule type="expression" dxfId="0" priority="1">
      <formula>DAY(J61)&lt;15</formula>
    </cfRule>
  </conditionalFormatting>
  <printOptions horizontalCentered="1"/>
  <pageMargins left="0.4" right="0.4" top="0.4" bottom="0.6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print="0" autoPict="0" altText="Spinner control for changing years.">
                <anchor moveWithCells="1" sizeWithCells="1">
                  <from>
                    <xdr:col>15</xdr:col>
                    <xdr:colOff>38100</xdr:colOff>
                    <xdr:row>1</xdr:row>
                    <xdr:rowOff>152400</xdr:rowOff>
                  </from>
                  <to>
                    <xdr:col>15</xdr:col>
                    <xdr:colOff>285750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/>
  </sheetViews>
  <sheetFormatPr defaultRowHeight="13.5" x14ac:dyDescent="0.15"/>
  <sheetData>
    <row r="1" spans="1:2" x14ac:dyDescent="0.15">
      <c r="A1">
        <v>1</v>
      </c>
      <c r="B1" t="s">
        <v>1</v>
      </c>
    </row>
    <row r="2" spans="1:2" x14ac:dyDescent="0.15">
      <c r="A2">
        <v>2</v>
      </c>
      <c r="B2" t="s">
        <v>2</v>
      </c>
    </row>
    <row r="3" spans="1:2" x14ac:dyDescent="0.15">
      <c r="A3">
        <v>3</v>
      </c>
      <c r="B3" t="s">
        <v>3</v>
      </c>
    </row>
    <row r="4" spans="1:2" x14ac:dyDescent="0.15">
      <c r="A4">
        <v>4</v>
      </c>
      <c r="B4" t="s">
        <v>4</v>
      </c>
    </row>
    <row r="5" spans="1:2" x14ac:dyDescent="0.15">
      <c r="A5">
        <v>5</v>
      </c>
      <c r="B5" t="s">
        <v>5</v>
      </c>
    </row>
    <row r="6" spans="1:2" x14ac:dyDescent="0.15">
      <c r="A6">
        <v>6</v>
      </c>
      <c r="B6" t="s">
        <v>6</v>
      </c>
    </row>
    <row r="7" spans="1:2" x14ac:dyDescent="0.15">
      <c r="A7">
        <v>7</v>
      </c>
      <c r="B7" t="s">
        <v>7</v>
      </c>
    </row>
    <row r="8" spans="1:2" x14ac:dyDescent="0.15">
      <c r="A8">
        <v>8</v>
      </c>
      <c r="B8" t="s">
        <v>8</v>
      </c>
    </row>
    <row r="9" spans="1:2" x14ac:dyDescent="0.15">
      <c r="A9">
        <v>9</v>
      </c>
      <c r="B9" t="s">
        <v>9</v>
      </c>
    </row>
    <row r="10" spans="1:2" x14ac:dyDescent="0.15">
      <c r="A10">
        <v>10</v>
      </c>
      <c r="B10" t="s">
        <v>10</v>
      </c>
    </row>
    <row r="11" spans="1:2" x14ac:dyDescent="0.15">
      <c r="A11">
        <v>11</v>
      </c>
      <c r="B11" t="s">
        <v>11</v>
      </c>
    </row>
    <row r="12" spans="1:2" x14ac:dyDescent="0.15">
      <c r="A12">
        <v>12</v>
      </c>
      <c r="B12" t="s">
        <v>12</v>
      </c>
    </row>
  </sheetData>
  <phoneticPr fontId="6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118E2239-CDDE-4974-8958-DC2CB57EE9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3</vt:i4>
      </vt:variant>
    </vt:vector>
  </HeadingPairs>
  <TitlesOfParts>
    <vt:vector size="5" baseType="lpstr">
      <vt:lpstr>日历</vt:lpstr>
      <vt:lpstr>0</vt:lpstr>
      <vt:lpstr>CalYear</vt:lpstr>
      <vt:lpstr>monthtb</vt:lpstr>
      <vt:lpstr>WeekStart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</dc:creator>
  <cp:keywords/>
  <cp:lastModifiedBy>king</cp:lastModifiedBy>
  <dcterms:created xsi:type="dcterms:W3CDTF">2017-09-28T13:51:06Z</dcterms:created>
  <dcterms:modified xsi:type="dcterms:W3CDTF">2017-09-28T13:51:06Z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TC040688979991</vt:lpwstr>
  </property>
</Properties>
</file>