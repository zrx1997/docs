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workbookPr refreshAllConnections="1"/>
  <mc:AlternateContent xmlns:mc="http://schemas.openxmlformats.org/markup-compatibility/2006">
    <mc:Choice Requires="x15">
      <x15ac:absPath xmlns:x15ac="http://schemas.microsoft.com/office/spreadsheetml/2010/11/ac" url="C:\Users\king\Desktop\Excel模版合集\"/>
    </mc:Choice>
  </mc:AlternateContent>
  <bookViews>
    <workbookView xWindow="0" yWindow="0" windowWidth="20490" windowHeight="7425"/>
  </bookViews>
  <sheets>
    <sheet name="个人资金跟踪器" sheetId="1" r:id="rId1"/>
    <sheet name="每月摘要" sheetId="2" r:id="rId2"/>
    <sheet name="图表数据" sheetId="3" r:id="rId3"/>
  </sheets>
  <definedNames>
    <definedName name="AccountList">CashSummaryTable[帐户]</definedName>
    <definedName name="PercentageAvailable">个人资金跟踪器!$B$22</definedName>
    <definedName name="_xlnm.Print_Titles" localSheetId="1">每月摘要!$B:$B,每月摘要!$17:$18</definedName>
    <definedName name="Slicer_Account1">#N/A</definedName>
    <definedName name="Slicer_Description2">#N/A</definedName>
    <definedName name="切片器_说明">#N/A</definedName>
    <definedName name="切片器_帐户">#N/A</definedName>
  </definedNames>
  <calcPr calcId="171027"/>
  <pivotCaches>
    <pivotCache cacheId="3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Lst>
</workbook>
</file>

<file path=xl/calcChain.xml><?xml version="1.0" encoding="utf-8"?>
<calcChain xmlns="http://schemas.openxmlformats.org/spreadsheetml/2006/main">
  <c r="F7" i="1" l="1"/>
  <c r="G7" i="1" s="1"/>
  <c r="E8" i="1" l="1"/>
  <c r="F5" i="1"/>
  <c r="G5" i="1" s="1"/>
  <c r="F6" i="1"/>
  <c r="G6" i="1" s="1"/>
  <c r="G8" i="1" l="1"/>
  <c r="B22" i="1" s="1"/>
  <c r="F8" i="1"/>
</calcChain>
</file>

<file path=xl/sharedStrings.xml><?xml version="1.0" encoding="utf-8"?>
<sst xmlns="http://schemas.openxmlformats.org/spreadsheetml/2006/main" count="63" uniqueCount="35">
  <si>
    <t>总计</t>
  </si>
  <si>
    <t>1月</t>
  </si>
  <si>
    <t>2月</t>
  </si>
  <si>
    <t>3月</t>
  </si>
  <si>
    <t>4月</t>
  </si>
  <si>
    <t>5月</t>
  </si>
  <si>
    <t>列标签</t>
  </si>
  <si>
    <t>行标签</t>
  </si>
  <si>
    <t>个人资金跟踪器</t>
  </si>
  <si>
    <t>现金摘要</t>
  </si>
  <si>
    <t>帐户</t>
  </si>
  <si>
    <t>起始现金</t>
  </si>
  <si>
    <t>支出总计</t>
  </si>
  <si>
    <t>剩余现金</t>
  </si>
  <si>
    <t xml:space="preserve">支票帐户 </t>
  </si>
  <si>
    <t xml:space="preserve">储蓄帐户 </t>
  </si>
  <si>
    <t xml:space="preserve">其他 </t>
  </si>
  <si>
    <t xml:space="preserve"> 总计  </t>
  </si>
  <si>
    <t>已支付的现金</t>
  </si>
  <si>
    <t>日期</t>
  </si>
  <si>
    <t>说明</t>
  </si>
  <si>
    <t>金额</t>
  </si>
  <si>
    <t xml:space="preserve">ATM 取款 </t>
  </si>
  <si>
    <t xml:space="preserve">午餐 </t>
  </si>
  <si>
    <t xml:space="preserve">车贷 </t>
  </si>
  <si>
    <t xml:space="preserve">电子支付 </t>
  </si>
  <si>
    <t xml:space="preserve">晚餐 </t>
  </si>
  <si>
    <t xml:space="preserve">提取现金 </t>
  </si>
  <si>
    <t>剩余现金：</t>
    <phoneticPr fontId="4" type="noConversion"/>
  </si>
  <si>
    <t>求和项:金额</t>
  </si>
  <si>
    <t>支出摘要</t>
  </si>
  <si>
    <t>每月摘要</t>
  </si>
  <si>
    <t>帐户摘要</t>
  </si>
  <si>
    <t>数据透视图数据</t>
  </si>
  <si>
    <t>此数据透视表是“每月摘要”工作表上的“帐户摘要”数据透视图的数据源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</si>
</sst>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_(&quot;$&quot;* #,##0.00_);_(&quot;$&quot;* \!\(#,##0.00\!\);_(&quot;$&quot;* &quot;-&quot;??_);_(@_)"/>
    <numFmt numFmtId="177" formatCode="0.00_);\!\(0.00\!\)"/>
    <numFmt numFmtId="178" formatCode="_(@_)"/>
  </numFmts>
  <fonts count="15" x14ac:knownFonts="1">
    <font>
      <sz val="10"/>
      <color theme="1"/>
      <name val="宋体"/>
      <family val="2"/>
      <scheme val="minor"/>
    </font>
    <font>
      <sz val="11"/>
      <color theme="1"/>
      <name val="宋体"/>
      <family val="2"/>
      <scheme val="minor"/>
    </font>
    <font>
      <sz val="18"/>
      <color theme="3"/>
      <name val="宋体"/>
      <family val="1"/>
      <scheme val="major"/>
    </font>
    <font>
      <sz val="22"/>
      <color theme="5"/>
      <name val="宋体"/>
      <family val="2"/>
      <scheme val="major"/>
    </font>
    <font>
      <sz val="9"/>
      <name val="宋体"/>
      <family val="3"/>
      <charset val="134"/>
      <scheme val="minor"/>
    </font>
    <font>
      <sz val="10"/>
      <color theme="1"/>
      <name val="Microsoft YaHei UI"/>
      <family val="2"/>
      <charset val="134"/>
    </font>
    <font>
      <sz val="22"/>
      <color theme="5"/>
      <name val="Microsoft YaHei UI"/>
      <family val="2"/>
      <charset val="134"/>
    </font>
    <font>
      <sz val="18"/>
      <color theme="3"/>
      <name val="Microsoft YaHei UI"/>
      <family val="2"/>
      <charset val="134"/>
    </font>
    <font>
      <sz val="12"/>
      <color theme="1"/>
      <name val="Microsoft YaHei UI"/>
      <family val="2"/>
      <charset val="134"/>
    </font>
    <font>
      <i/>
      <sz val="13"/>
      <color theme="1" tint="0.34998626667073579"/>
      <name val="Microsoft YaHei UI"/>
      <family val="2"/>
      <charset val="134"/>
    </font>
    <font>
      <i/>
      <sz val="22"/>
      <color theme="3"/>
      <name val="Microsoft YaHei UI"/>
      <family val="2"/>
      <charset val="134"/>
    </font>
    <font>
      <i/>
      <sz val="24"/>
      <color theme="1"/>
      <name val="Microsoft YaHei UI"/>
      <family val="2"/>
      <charset val="134"/>
    </font>
    <font>
      <sz val="14"/>
      <color theme="3"/>
      <name val="Microsoft YaHei UI"/>
      <family val="2"/>
      <charset val="134"/>
    </font>
    <font>
      <i/>
      <sz val="10"/>
      <color theme="1"/>
      <name val="Microsoft YaHei UI"/>
      <family val="2"/>
      <charset val="134"/>
    </font>
    <font>
      <sz val="9"/>
      <color theme="1"/>
      <name val="Microsoft YaHei UI"/>
      <family val="2"/>
      <charset val="134"/>
    </font>
  </fonts>
  <fills count="2">
    <fill>
      <patternFill patternType="none"/>
    </fill>
    <fill>
      <patternFill patternType="gray125"/>
    </fill>
  </fills>
  <borders count="2">
    <border>
      <left/>
      <right/>
      <top/>
      <bottom/>
      <diagonal/>
    </border>
    <border>
      <left/>
      <right/>
      <top/>
      <bottom style="dotted">
        <color theme="0" tint="-0.34998626667073579"/>
      </bottom>
      <diagonal/>
    </border>
  </borders>
  <cellStyleXfs count="5">
    <xf numFmtId="0" fontId="0" fillId="0" borderId="0"/>
    <xf numFmtId="176" fontId="1" fillId="0" borderId="0" applyFont="0" applyFill="0" applyBorder="0" applyAlignment="0" applyProtection="0"/>
    <xf numFmtId="0" fontId="3" fillId="0" borderId="1" applyNumberFormat="0" applyFill="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37">
    <xf numFmtId="0" fontId="0" fillId="0" borderId="0" xfId="0"/>
    <xf numFmtId="0" fontId="5" fillId="0" borderId="0" xfId="0" applyFont="1"/>
    <xf numFmtId="0" fontId="6" fillId="0" borderId="1" xfId="2" applyFont="1" applyBorder="1" applyAlignment="1">
      <alignment horizontal="left" vertical="center"/>
    </xf>
    <xf numFmtId="0" fontId="5" fillId="0" borderId="1" xfId="0" applyFont="1" applyBorder="1"/>
    <xf numFmtId="0" fontId="6" fillId="0" borderId="0" xfId="2" applyFont="1" applyBorder="1"/>
    <xf numFmtId="0" fontId="7" fillId="0" borderId="0" xfId="4" applyFont="1" applyBorder="1" applyAlignment="1">
      <alignment vertical="center"/>
    </xf>
    <xf numFmtId="0" fontId="8" fillId="0" borderId="0" xfId="0" applyFont="1" applyFill="1" applyBorder="1" applyAlignment="1">
      <alignment vertical="center"/>
    </xf>
    <xf numFmtId="0" fontId="8" fillId="0" borderId="0" xfId="0" applyFont="1" applyFill="1" applyBorder="1" applyAlignment="1">
      <alignment horizontal="right" vertical="center"/>
    </xf>
    <xf numFmtId="178" fontId="5" fillId="0" borderId="0" xfId="0" applyNumberFormat="1" applyFont="1" applyFill="1" applyBorder="1" applyAlignment="1">
      <alignment horizontal="left"/>
    </xf>
    <xf numFmtId="177" fontId="5" fillId="0" borderId="0" xfId="1" applyNumberFormat="1" applyFont="1" applyFill="1" applyBorder="1"/>
    <xf numFmtId="177" fontId="5" fillId="0" borderId="0" xfId="0" applyNumberFormat="1" applyFont="1" applyFill="1" applyBorder="1"/>
    <xf numFmtId="0" fontId="8" fillId="0" borderId="0" xfId="0" applyFont="1" applyFill="1" applyBorder="1" applyAlignment="1">
      <alignment horizontal="left" vertical="center" indent="1"/>
    </xf>
    <xf numFmtId="0" fontId="8" fillId="0" borderId="0" xfId="0" applyFont="1" applyFill="1" applyBorder="1" applyAlignment="1">
      <alignment horizontal="center" vertical="center"/>
    </xf>
    <xf numFmtId="14" fontId="5" fillId="0" borderId="0" xfId="0" applyNumberFormat="1" applyFont="1" applyAlignment="1">
      <alignment horizontal="left" indent="2"/>
    </xf>
    <xf numFmtId="178" fontId="5" fillId="0" borderId="0" xfId="0" applyNumberFormat="1" applyFont="1" applyAlignment="1">
      <alignment horizontal="left" indent="1"/>
    </xf>
    <xf numFmtId="40" fontId="5" fillId="0" borderId="0" xfId="1" applyNumberFormat="1" applyFont="1" applyAlignment="1">
      <alignment horizontal="right" indent="1"/>
    </xf>
    <xf numFmtId="9" fontId="11" fillId="0" borderId="0" xfId="3" applyFont="1" applyAlignment="1">
      <alignment vertical="center"/>
    </xf>
    <xf numFmtId="0" fontId="6" fillId="0" borderId="1" xfId="2" applyFont="1" applyBorder="1" applyAlignment="1">
      <alignment vertical="center"/>
    </xf>
    <xf numFmtId="0" fontId="5" fillId="0" borderId="0" xfId="0" applyFont="1" applyBorder="1"/>
    <xf numFmtId="0" fontId="6" fillId="0" borderId="1" xfId="2" applyFont="1"/>
    <xf numFmtId="0" fontId="7" fillId="0" borderId="0" xfId="4" applyFont="1" applyBorder="1" applyAlignment="1"/>
    <xf numFmtId="0" fontId="7" fillId="0" borderId="0" xfId="4" applyFont="1" applyBorder="1"/>
    <xf numFmtId="0" fontId="12" fillId="0" borderId="0" xfId="0" pivotButton="1" applyFont="1" applyAlignment="1">
      <alignment horizontal="left" vertical="top"/>
    </xf>
    <xf numFmtId="0" fontId="5" fillId="0" borderId="0" xfId="0" applyFont="1" applyAlignment="1">
      <alignment horizontal="center" vertical="center" wrapText="1"/>
    </xf>
    <xf numFmtId="0" fontId="8" fillId="0" borderId="0" xfId="0" applyFont="1" applyAlignment="1">
      <alignment horizontal="center" vertical="center" wrapText="1"/>
    </xf>
    <xf numFmtId="14" fontId="5" fillId="0" borderId="0" xfId="0" applyNumberFormat="1" applyFont="1" applyAlignment="1">
      <alignment horizontal="left"/>
    </xf>
    <xf numFmtId="0" fontId="5" fillId="0" borderId="0" xfId="0" applyNumberFormat="1" applyFont="1"/>
    <xf numFmtId="0" fontId="5" fillId="0" borderId="0" xfId="0" applyFont="1" applyAlignment="1">
      <alignment horizontal="left" indent="1"/>
    </xf>
    <xf numFmtId="0" fontId="13" fillId="0" borderId="0" xfId="0" applyFont="1" applyAlignment="1">
      <alignment vertical="center"/>
    </xf>
    <xf numFmtId="0" fontId="14" fillId="0" borderId="0" xfId="0" pivotButton="1" applyFont="1"/>
    <xf numFmtId="0" fontId="5" fillId="0" borderId="0" xfId="0" pivotButton="1" applyFont="1"/>
    <xf numFmtId="0" fontId="8" fillId="0" borderId="0" xfId="0" applyFont="1"/>
    <xf numFmtId="177" fontId="5" fillId="0" borderId="0" xfId="0" applyNumberFormat="1" applyFont="1"/>
    <xf numFmtId="0" fontId="5" fillId="0" borderId="0" xfId="0" applyFont="1" applyAlignment="1">
      <alignment horizontal="center"/>
    </xf>
    <xf numFmtId="9" fontId="10" fillId="0" borderId="0" xfId="3" applyFont="1" applyAlignment="1">
      <alignment horizontal="center" vertical="center"/>
    </xf>
    <xf numFmtId="0" fontId="5" fillId="0" borderId="0" xfId="0" applyFont="1" applyAlignment="1">
      <alignment horizontal="center"/>
    </xf>
    <xf numFmtId="0" fontId="9" fillId="0" borderId="0" xfId="0" applyFont="1" applyAlignment="1">
      <alignment horizontal="center" wrapText="1"/>
    </xf>
  </cellXfs>
  <cellStyles count="5">
    <cellStyle name="百分比" xfId="3" builtinId="5"/>
    <cellStyle name="标题" xfId="2" builtinId="15" customBuiltin="1"/>
    <cellStyle name="标题 1" xfId="4" builtinId="16" customBuiltin="1"/>
    <cellStyle name="常规" xfId="0" builtinId="0" customBuiltin="1"/>
    <cellStyle name="货币" xfId="1" builtinId="4"/>
  </cellStyles>
  <dxfs count="91">
    <dxf>
      <font>
        <sz val="9"/>
      </font>
    </dxf>
    <dxf>
      <font>
        <sz val="12"/>
      </font>
    </dxf>
    <dxf>
      <numFmt numFmtId="177" formatCode="0.00_);\!\(0.0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sz val="8"/>
      </font>
    </dxf>
    <dxf>
      <alignment vertical="top" readingOrder="0"/>
    </dxf>
    <dxf>
      <font>
        <sz val="12"/>
      </font>
    </dxf>
    <dxf>
      <font>
        <b val="0"/>
        <i val="0"/>
        <strike val="0"/>
        <condense val="0"/>
        <extend val="0"/>
        <outline val="0"/>
        <shadow val="0"/>
        <u val="none"/>
        <vertAlign val="baseline"/>
        <sz val="18"/>
        <color theme="3"/>
        <name val="Cambria"/>
        <scheme val="major"/>
      </font>
    </dxf>
    <dxf>
      <alignment horizontal="left" readingOrder="0"/>
    </dxf>
    <dxf>
      <font>
        <sz val="14"/>
      </font>
    </dxf>
    <dxf>
      <alignment horizontal="right" readingOrder="0"/>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numFmt numFmtId="177" formatCode="0.00_);\!\(0.00\!\)"/>
    </dxf>
    <dxf>
      <font>
        <sz val="12"/>
      </font>
    </dxf>
    <dxf>
      <font>
        <sz val="9"/>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font>
        <name val="Microsoft YaHei UI"/>
        <scheme val="none"/>
      </font>
    </dxf>
    <dxf>
      <alignment horizontal="right" readingOrder="0"/>
    </dxf>
    <dxf>
      <font>
        <sz val="14"/>
      </font>
    </dxf>
    <dxf>
      <alignment horizontal="left" readingOrder="0"/>
    </dxf>
    <dxf>
      <font>
        <b val="0"/>
        <i val="0"/>
        <strike val="0"/>
        <condense val="0"/>
        <extend val="0"/>
        <outline val="0"/>
        <shadow val="0"/>
        <u val="none"/>
        <vertAlign val="baseline"/>
        <sz val="18"/>
        <color theme="3"/>
        <name val="Cambria"/>
        <scheme val="major"/>
      </font>
    </dxf>
    <dxf>
      <font>
        <sz val="12"/>
      </font>
    </dxf>
    <dxf>
      <alignment vertical="top" readingOrder="0"/>
    </dxf>
    <dxf>
      <font>
        <sz val="8"/>
      </font>
    </dxf>
    <dxf>
      <font>
        <b val="0"/>
        <i val="0"/>
        <strike val="0"/>
        <condense val="0"/>
        <extend val="0"/>
        <outline val="0"/>
        <shadow val="0"/>
        <u val="none"/>
        <vertAlign val="baseline"/>
        <sz val="10"/>
        <color theme="1"/>
        <name val="Microsoft YaHei UI"/>
        <scheme val="none"/>
      </font>
      <numFmt numFmtId="177" formatCode="0.00_);\!\(0.00\!\)"/>
      <fill>
        <patternFill patternType="none">
          <fgColor indexed="64"/>
          <bgColor indexed="65"/>
        </patternFill>
      </fill>
    </dxf>
    <dxf>
      <font>
        <strike val="0"/>
        <outline val="0"/>
        <shadow val="0"/>
        <u val="none"/>
        <vertAlign val="baseline"/>
        <sz val="10"/>
        <color theme="1"/>
        <name val="Microsoft YaHei UI"/>
        <scheme val="none"/>
      </font>
      <numFmt numFmtId="177" formatCode="0.00_);\!\(0.00\!\)"/>
    </dxf>
    <dxf>
      <font>
        <b val="0"/>
        <i val="0"/>
        <strike val="0"/>
        <condense val="0"/>
        <extend val="0"/>
        <outline val="0"/>
        <shadow val="0"/>
        <u val="none"/>
        <vertAlign val="baseline"/>
        <sz val="10"/>
        <color theme="1"/>
        <name val="Microsoft YaHei UI"/>
        <scheme val="none"/>
      </font>
      <numFmt numFmtId="177" formatCode="0.00_);\!\(0.00\!\)"/>
      <fill>
        <patternFill patternType="none">
          <fgColor indexed="64"/>
          <bgColor indexed="65"/>
        </patternFill>
      </fill>
    </dxf>
    <dxf>
      <font>
        <strike val="0"/>
        <outline val="0"/>
        <shadow val="0"/>
        <u val="none"/>
        <vertAlign val="baseline"/>
        <sz val="10"/>
        <color theme="1"/>
        <name val="Microsoft YaHei UI"/>
        <scheme val="none"/>
      </font>
      <numFmt numFmtId="177" formatCode="0.00_);\!\(0.00\!\)"/>
    </dxf>
    <dxf>
      <font>
        <b val="0"/>
        <i val="0"/>
        <strike val="0"/>
        <condense val="0"/>
        <extend val="0"/>
        <outline val="0"/>
        <shadow val="0"/>
        <u val="none"/>
        <vertAlign val="baseline"/>
        <sz val="10"/>
        <color theme="1"/>
        <name val="Microsoft YaHei UI"/>
        <scheme val="none"/>
      </font>
      <numFmt numFmtId="177" formatCode="0.00_);\!\(0.00\!\)"/>
      <fill>
        <patternFill patternType="none">
          <fgColor indexed="64"/>
          <bgColor indexed="65"/>
        </patternFill>
      </fill>
    </dxf>
    <dxf>
      <font>
        <strike val="0"/>
        <outline val="0"/>
        <shadow val="0"/>
        <u val="none"/>
        <vertAlign val="baseline"/>
        <sz val="10"/>
        <color theme="1"/>
        <name val="Microsoft YaHei UI"/>
        <scheme val="none"/>
      </font>
      <numFmt numFmtId="177" formatCode="0.00_);\!\(0.00\!\)"/>
    </dxf>
    <dxf>
      <font>
        <b val="0"/>
        <i val="0"/>
        <strike val="0"/>
        <condense val="0"/>
        <extend val="0"/>
        <outline val="0"/>
        <shadow val="0"/>
        <u val="none"/>
        <vertAlign val="baseline"/>
        <sz val="10"/>
        <color theme="1"/>
        <name val="Microsoft YaHei UI"/>
        <scheme val="none"/>
      </font>
      <numFmt numFmtId="178" formatCode="_(@_)"/>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0"/>
        <color theme="1"/>
        <name val="Microsoft YaHei UI"/>
        <scheme val="none"/>
      </font>
      <numFmt numFmtId="178" formatCode="_(@_)"/>
      <alignment horizontal="left" vertical="bottom" textRotation="0" wrapText="0" relativeIndent="-1" justifyLastLine="0" shrinkToFit="0" readingOrder="0"/>
    </dxf>
    <dxf>
      <font>
        <strike val="0"/>
        <outline val="0"/>
        <shadow val="0"/>
        <u val="none"/>
        <vertAlign val="baseline"/>
        <sz val="10"/>
        <color theme="1"/>
        <name val="Microsoft YaHei UI"/>
        <scheme val="none"/>
      </font>
    </dxf>
    <dxf>
      <font>
        <strike val="0"/>
        <outline val="0"/>
        <shadow val="0"/>
        <u val="none"/>
        <vertAlign val="baseline"/>
        <sz val="10"/>
        <color theme="1"/>
        <name val="Microsoft YaHei UI"/>
        <scheme val="none"/>
      </font>
    </dxf>
    <dxf>
      <font>
        <strike val="0"/>
        <outline val="0"/>
        <shadow val="0"/>
        <u val="none"/>
        <vertAlign val="baseline"/>
        <sz val="12"/>
        <color theme="1"/>
        <name val="Microsoft YaHei UI"/>
        <scheme val="none"/>
      </font>
      <alignment vertical="center" textRotation="0" wrapText="0" indent="0" justifyLastLine="0" shrinkToFit="0" readingOrder="0"/>
    </dxf>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Microsoft YaHei UI"/>
        <scheme val="none"/>
      </font>
      <numFmt numFmtId="178" formatCode="_(@_)"/>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numFmt numFmtId="179" formatCode="#,##0.00_);[Red]\!\(#,##0.00\!\)"/>
      <alignment horizontal="right" vertical="bottom" textRotation="0" wrapText="0" indent="1" justifyLastLine="0" shrinkToFit="0" readingOrder="0"/>
    </dxf>
    <dxf>
      <font>
        <strike val="0"/>
        <outline val="0"/>
        <shadow val="0"/>
        <u val="none"/>
        <vertAlign val="baseline"/>
        <sz val="10"/>
        <color theme="1"/>
        <name val="Microsoft YaHei UI"/>
        <scheme val="none"/>
      </font>
      <numFmt numFmtId="179" formatCode="#,##0.00_);[Red]\!\(#,##0.00\!\)"/>
      <alignment horizontal="right" vertical="bottom" textRotation="0" wrapText="0" indent="1" justifyLastLine="0" shrinkToFit="0" readingOrder="0"/>
    </dxf>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Microsoft YaHei UI"/>
        <scheme val="none"/>
      </font>
      <numFmt numFmtId="178" formatCode="_(@_)"/>
      <alignment horizontal="left" vertical="bottom" textRotation="0" wrapText="0" indent="1" justifyLastLine="0" shrinkToFit="0" readingOrder="0"/>
    </dxf>
    <dxf>
      <font>
        <b val="0"/>
        <i val="0"/>
        <strike val="0"/>
        <condense val="0"/>
        <extend val="0"/>
        <outline val="0"/>
        <shadow val="0"/>
        <u val="none"/>
        <vertAlign val="baseline"/>
        <sz val="10"/>
        <color theme="1"/>
        <name val="Calibri"/>
        <scheme val="minor"/>
      </font>
      <alignment horizontal="left" vertical="bottom" textRotation="0" wrapText="0" indent="1" justifyLastLine="0" shrinkToFit="0" readingOrder="0"/>
    </dxf>
    <dxf>
      <font>
        <strike val="0"/>
        <outline val="0"/>
        <shadow val="0"/>
        <u val="none"/>
        <vertAlign val="baseline"/>
        <sz val="10"/>
        <color theme="1"/>
        <name val="Microsoft YaHei UI"/>
        <scheme val="none"/>
      </font>
      <numFmt numFmtId="180" formatCode="m/d/yyyy"/>
      <alignment horizontal="left" vertical="bottom" textRotation="0" wrapText="0" indent="2" justifyLastLine="0" shrinkToFit="0" readingOrder="0"/>
    </dxf>
    <dxf>
      <font>
        <strike val="0"/>
        <outline val="0"/>
        <shadow val="0"/>
        <u val="none"/>
        <vertAlign val="baseline"/>
        <name val="Microsoft YaHei UI"/>
        <scheme val="none"/>
      </font>
    </dxf>
    <dxf>
      <font>
        <strike val="0"/>
        <outline val="0"/>
        <shadow val="0"/>
        <u val="none"/>
        <vertAlign val="baseline"/>
        <sz val="10"/>
        <color theme="1"/>
        <name val="Microsoft YaHei UI"/>
        <scheme val="none"/>
      </font>
    </dxf>
    <dxf>
      <font>
        <b val="0"/>
        <i val="0"/>
        <strike val="0"/>
        <condense val="0"/>
        <extend val="0"/>
        <outline val="0"/>
        <shadow val="0"/>
        <u val="none"/>
        <vertAlign val="baseline"/>
        <sz val="12"/>
        <color theme="1"/>
        <name val="Microsoft YaHei UI"/>
        <scheme val="none"/>
      </font>
      <fill>
        <patternFill patternType="none">
          <fgColor indexed="64"/>
          <bgColor indexed="65"/>
        </patternFill>
      </fill>
      <alignment horizontal="right" vertical="center" textRotation="0" wrapText="0" indent="0" justifyLastLine="0" shrinkToFit="0" readingOrder="0"/>
    </dxf>
    <dxf>
      <font>
        <color rgb="FFFF0000"/>
      </font>
    </dxf>
    <dxf>
      <font>
        <color rgb="FFFFC000"/>
      </font>
    </dxf>
    <dxf>
      <font>
        <color rgb="FF00B050"/>
      </font>
    </dxf>
    <dxf>
      <font>
        <b val="0"/>
        <i val="0"/>
        <color theme="3"/>
      </font>
    </dxf>
    <dxf>
      <font>
        <color theme="1"/>
      </font>
      <fill>
        <patternFill>
          <bgColor theme="6" tint="0.79998168889431442"/>
        </patternFill>
      </fill>
      <border>
        <bottom style="medium">
          <color theme="0" tint="-0.14996795556505021"/>
        </bottom>
        <vertical style="thick">
          <color theme="0"/>
        </vertical>
      </border>
    </dxf>
    <dxf>
      <font>
        <b val="0"/>
        <i val="0"/>
        <color theme="3"/>
      </font>
      <border diagonalUp="0" diagonalDown="0">
        <left/>
        <right/>
        <top/>
        <bottom/>
        <vertical/>
        <horizontal/>
      </border>
    </dxf>
    <dxf>
      <font>
        <b val="0"/>
        <i val="0"/>
        <color theme="3"/>
      </font>
      <border>
        <vertical style="thick">
          <color theme="0"/>
        </vertical>
        <horizontal style="thin">
          <color theme="0" tint="-0.14996795556505021"/>
        </horizontal>
      </border>
    </dxf>
    <dxf>
      <font>
        <color theme="1"/>
      </font>
      <fill>
        <patternFill>
          <bgColor theme="6" tint="0.79998168889431442"/>
        </patternFill>
      </fill>
      <border>
        <bottom style="medium">
          <color theme="0" tint="-0.14996795556505021"/>
        </bottom>
        <vertical style="thick">
          <color theme="0"/>
        </vertical>
      </border>
    </dxf>
    <dxf>
      <font>
        <b val="0"/>
        <i val="0"/>
        <color theme="3"/>
      </font>
      <border diagonalUp="0" diagonalDown="0">
        <left/>
        <right/>
        <top style="dotted">
          <color theme="3" tint="0.39994506668294322"/>
        </top>
        <bottom/>
        <vertical/>
        <horizontal/>
      </border>
    </dxf>
    <dxf>
      <font>
        <b val="0"/>
        <i val="0"/>
        <color theme="3"/>
      </font>
      <border>
        <vertical style="thick">
          <color theme="0"/>
        </vertical>
        <horizontal style="thin">
          <color theme="0" tint="-0.14996795556505021"/>
        </horizontal>
      </border>
    </dxf>
    <dxf>
      <font>
        <sz val="12"/>
        <color theme="3"/>
        <name val="Cambria"/>
        <scheme val="major"/>
      </font>
    </dxf>
    <dxf>
      <font>
        <sz val="10"/>
        <color theme="3"/>
      </font>
    </dxf>
    <dxf>
      <border>
        <left style="thick">
          <color theme="0"/>
        </left>
        <right style="thick">
          <color theme="0"/>
        </right>
        <vertical style="thick">
          <color theme="0"/>
        </vertical>
      </border>
    </dxf>
    <dxf>
      <border>
        <left style="thick">
          <color theme="0"/>
        </left>
        <right style="thick">
          <color theme="0"/>
        </right>
        <vertical style="thick">
          <color theme="0"/>
        </vertical>
      </border>
    </dxf>
    <dxf>
      <font>
        <color theme="1"/>
      </font>
      <fill>
        <patternFill>
          <bgColor theme="6" tint="0.79998168889431442"/>
        </patternFill>
      </fill>
      <border>
        <bottom style="medium">
          <color theme="0" tint="-0.14993743705557422"/>
        </bottom>
        <vertical style="thick">
          <color theme="0"/>
        </vertical>
      </border>
    </dxf>
    <dxf>
      <font>
        <b val="0"/>
        <i val="0"/>
      </font>
      <border>
        <top style="dotted">
          <color theme="0" tint="-0.499984740745262"/>
        </top>
      </border>
    </dxf>
    <dxf>
      <font>
        <color theme="3"/>
      </font>
      <border>
        <horizontal style="thin">
          <color theme="0" tint="-0.14996795556505021"/>
        </horizontal>
      </border>
    </dxf>
    <dxf>
      <border>
        <left style="thick">
          <color theme="0"/>
        </left>
        <right style="thick">
          <color theme="0"/>
        </right>
        <vertical style="thick">
          <color theme="0"/>
        </vertical>
      </border>
    </dxf>
    <dxf>
      <border>
        <left style="thick">
          <color theme="0"/>
        </left>
        <right style="thick">
          <color theme="0"/>
        </right>
        <vertical style="thick">
          <color theme="0"/>
        </vertical>
      </border>
    </dxf>
    <dxf>
      <fill>
        <patternFill>
          <bgColor theme="5" tint="0.79998168889431442"/>
        </patternFill>
      </fill>
    </dxf>
    <dxf>
      <font>
        <color theme="1"/>
      </font>
      <fill>
        <patternFill>
          <bgColor theme="6" tint="0.79998168889431442"/>
        </patternFill>
      </fill>
      <border>
        <vertical style="thick">
          <color theme="0"/>
        </vertical>
      </border>
    </dxf>
    <dxf>
      <font>
        <b val="0"/>
        <i val="0"/>
      </font>
      <border>
        <top style="dotted">
          <color theme="0" tint="-0.499984740745262"/>
        </top>
        <bottom/>
      </border>
    </dxf>
    <dxf>
      <font>
        <color theme="3"/>
      </font>
    </dxf>
  </dxfs>
  <tableStyles count="5" defaultTableStyle="Cash Spent Table" defaultPivotStyle="Monthly Summary">
    <tableStyle name="Cash Spent Table" pivot="0" count="6">
      <tableStyleElement type="wholeTable" dxfId="90"/>
      <tableStyleElement type="headerRow" dxfId="89"/>
      <tableStyleElement type="totalRow" dxfId="88"/>
      <tableStyleElement type="secondRowStripe" dxfId="87"/>
      <tableStyleElement type="firstColumnStripe" dxfId="86"/>
      <tableStyleElement type="secondColumnStripe" dxfId="85"/>
    </tableStyle>
    <tableStyle name="CashSummaryTable" pivot="0" count="5">
      <tableStyleElement type="wholeTable" dxfId="84"/>
      <tableStyleElement type="headerRow" dxfId="83"/>
      <tableStyleElement type="totalRow" dxfId="82"/>
      <tableStyleElement type="firstColumnStripe" dxfId="81"/>
      <tableStyleElement type="secondColumnStripe" dxfId="80"/>
    </tableStyle>
    <tableStyle name="Money Tracker" pivot="0" table="0" count="8">
      <tableStyleElement type="wholeTable" dxfId="79"/>
      <tableStyleElement type="headerRow" dxfId="78"/>
    </tableStyle>
    <tableStyle name="Monthly Summary" table="0" count="3">
      <tableStyleElement type="wholeTable" dxfId="77"/>
      <tableStyleElement type="headerRow" dxfId="76"/>
      <tableStyleElement type="totalRow" dxfId="75"/>
    </tableStyle>
    <tableStyle name="Monthly Summary PivotTable data" table="0" count="4">
      <tableStyleElement type="wholeTable" dxfId="74"/>
      <tableStyleElement type="headerRow" dxfId="73"/>
      <tableStyleElement type="totalRow" dxfId="72"/>
      <tableStyleElement type="firstRowSubheading" dxfId="71"/>
    </tableStyle>
  </tableStyles>
  <colors>
    <mruColors>
      <color rgb="FFFF6600"/>
    </mruColors>
  </colors>
  <extLst>
    <ext xmlns:x14="http://schemas.microsoft.com/office/spreadsheetml/2009/9/main" uri="{46F421CA-312F-682f-3DD2-61675219B42D}">
      <x14:dxfs count="6">
        <dxf>
          <fill>
            <patternFill>
              <bgColor theme="2" tint="-9.9948118533890809E-2"/>
            </patternFill>
          </fill>
        </dxf>
        <dxf>
          <fill>
            <patternFill>
              <bgColor theme="2"/>
            </patternFill>
          </fill>
        </dxf>
        <dxf>
          <font>
            <color theme="0" tint="-0.14996795556505021"/>
          </font>
          <fill>
            <patternFill patternType="none">
              <bgColor auto="1"/>
            </patternFill>
          </fill>
          <border>
            <left style="medium">
              <color theme="0" tint="-0.14996795556505021"/>
            </left>
            <right style="medium">
              <color theme="0" tint="-0.14996795556505021"/>
            </right>
            <top style="medium">
              <color theme="0" tint="-0.14996795556505021"/>
            </top>
            <bottom style="medium">
              <color theme="0" tint="-0.14996795556505021"/>
            </bottom>
          </border>
        </dxf>
        <dxf>
          <fill>
            <patternFill>
              <bgColor theme="5" tint="0.59996337778862885"/>
            </patternFill>
          </fill>
        </dxf>
        <dxf>
          <font>
            <color theme="0" tint="-0.24994659260841701"/>
          </font>
          <border>
            <left style="medium">
              <color theme="0" tint="-0.24994659260841701"/>
            </left>
            <right style="medium">
              <color theme="0" tint="-0.24994659260841701"/>
            </right>
            <top style="medium">
              <color theme="0" tint="-0.24994659260841701"/>
            </top>
            <bottom style="medium">
              <color theme="0" tint="-0.24994659260841701"/>
            </bottom>
          </border>
        </dxf>
        <dxf>
          <font>
            <b/>
            <i val="0"/>
            <color theme="0" tint="-0.499984740745262"/>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x14:dxfs>
    </ext>
    <ext xmlns:x14="http://schemas.microsoft.com/office/spreadsheetml/2009/9/main" uri="{EB79DEF2-80B8-43e5-95BD-54CBDDF9020C}">
      <x14:slicerStyles defaultSlicerStyle="Money Tracker">
        <x14:slicerStyle name="Money Tracker">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40660063772392913"/>
          <c:y val="3.4000715791347461E-2"/>
          <c:w val="0.63505380577427817"/>
          <c:h val="0.83761439655718151"/>
        </c:manualLayout>
      </c:layout>
      <c:barChart>
        <c:barDir val="col"/>
        <c:grouping val="clustered"/>
        <c:varyColors val="0"/>
        <c:ser>
          <c:idx val="0"/>
          <c:order val="0"/>
          <c:tx>
            <c:v>Cash</c:v>
          </c:tx>
          <c:invertIfNegative val="0"/>
          <c:dPt>
            <c:idx val="0"/>
            <c:invertIfNegative val="0"/>
            <c:bubble3D val="0"/>
            <c:spPr>
              <a:gradFill>
                <a:gsLst>
                  <a:gs pos="25000">
                    <a:srgbClr val="92D050">
                      <a:lumMod val="90000"/>
                    </a:srgbClr>
                  </a:gs>
                  <a:gs pos="50000">
                    <a:srgbClr val="FFC000">
                      <a:lumMod val="99000"/>
                    </a:srgbClr>
                  </a:gs>
                  <a:gs pos="75000">
                    <a:srgbClr val="FF0000">
                      <a:lumMod val="92000"/>
                      <a:lumOff val="8000"/>
                    </a:srgbClr>
                  </a:gs>
                </a:gsLst>
                <a:lin ang="5400000" scaled="0"/>
              </a:gradFill>
            </c:spPr>
            <c:extLst>
              <c:ext xmlns:c16="http://schemas.microsoft.com/office/drawing/2014/chart" uri="{C3380CC4-5D6E-409C-BE32-E72D297353CC}">
                <c16:uniqueId val="{00000001-5804-46F7-8CFD-4AC684557671}"/>
              </c:ext>
            </c:extLst>
          </c:dPt>
          <c:cat>
            <c:strLit>
              <c:ptCount val="1"/>
              <c:pt idx="0">
                <c:v>Cash</c:v>
              </c:pt>
            </c:strLit>
          </c:cat>
          <c:val>
            <c:numRef>
              <c:f>个人资金跟踪器!$B$22</c:f>
              <c:numCache>
                <c:formatCode>0%</c:formatCode>
                <c:ptCount val="1"/>
                <c:pt idx="0">
                  <c:v>0.75459459459459455</c:v>
                </c:pt>
              </c:numCache>
            </c:numRef>
          </c:val>
          <c:extLst>
            <c:ext xmlns:c16="http://schemas.microsoft.com/office/drawing/2014/chart" uri="{C3380CC4-5D6E-409C-BE32-E72D297353CC}">
              <c16:uniqueId val="{00000002-5804-46F7-8CFD-4AC684557671}"/>
            </c:ext>
          </c:extLst>
        </c:ser>
        <c:dLbls>
          <c:showLegendKey val="0"/>
          <c:showVal val="0"/>
          <c:showCatName val="0"/>
          <c:showSerName val="0"/>
          <c:showPercent val="0"/>
          <c:showBubbleSize val="0"/>
        </c:dLbls>
        <c:gapWidth val="18"/>
        <c:axId val="106655184"/>
        <c:axId val="106655728"/>
      </c:barChart>
      <c:catAx>
        <c:axId val="106655184"/>
        <c:scaling>
          <c:orientation val="minMax"/>
        </c:scaling>
        <c:delete val="1"/>
        <c:axPos val="b"/>
        <c:numFmt formatCode="General" sourceLinked="0"/>
        <c:majorTickMark val="out"/>
        <c:minorTickMark val="none"/>
        <c:tickLblPos val="nextTo"/>
        <c:crossAx val="106655728"/>
        <c:crosses val="autoZero"/>
        <c:auto val="1"/>
        <c:lblAlgn val="ctr"/>
        <c:lblOffset val="100"/>
        <c:noMultiLvlLbl val="0"/>
      </c:catAx>
      <c:valAx>
        <c:axId val="106655728"/>
        <c:scaling>
          <c:orientation val="minMax"/>
          <c:max val="1"/>
          <c:min val="0"/>
        </c:scaling>
        <c:delete val="0"/>
        <c:axPos val="l"/>
        <c:numFmt formatCode="0%" sourceLinked="0"/>
        <c:majorTickMark val="out"/>
        <c:minorTickMark val="none"/>
        <c:tickLblPos val="nextTo"/>
        <c:spPr>
          <a:ln w="0">
            <a:solidFill>
              <a:schemeClr val="tx2"/>
            </a:solidFill>
            <a:prstDash val="sysDot"/>
          </a:ln>
        </c:spPr>
        <c:txPr>
          <a:bodyPr/>
          <a:lstStyle/>
          <a:p>
            <a:pPr>
              <a:defRPr sz="1050" i="1">
                <a:solidFill>
                  <a:schemeClr val="tx2"/>
                </a:solidFill>
              </a:defRPr>
            </a:pPr>
            <a:endParaRPr lang="zh-CN"/>
          </a:p>
        </c:txPr>
        <c:crossAx val="106655184"/>
        <c:crosses val="autoZero"/>
        <c:crossBetween val="between"/>
      </c:valAx>
      <c:spPr>
        <a:noFill/>
        <a:ln w="25400">
          <a:noFill/>
        </a:ln>
        <a:effectLst/>
      </c:spPr>
    </c:plotArea>
    <c:plotVisOnly val="1"/>
    <c:dispBlanksAs val="gap"/>
    <c:showDLblsOverMax val="0"/>
  </c:chart>
  <c:spPr>
    <a:noFill/>
    <a:ln>
      <a:no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[个人资金跟踪器.xltx]图表数据!AccountSummaryPivotTable</c:name>
    <c:fmtId val="8"/>
  </c:pivotSource>
  <c:chart>
    <c:title>
      <c:overlay val="0"/>
      <c:txPr>
        <a:bodyPr/>
        <a:lstStyle/>
        <a:p>
          <a:pPr>
            <a:defRPr>
              <a:latin typeface="Microsoft YaHei UI" panose="020B0503020204020204" pitchFamily="34" charset="-122"/>
              <a:ea typeface="Microsoft YaHei UI" panose="020B0503020204020204" pitchFamily="34" charset="-122"/>
            </a:defRPr>
          </a:pPr>
          <a:endParaRPr lang="zh-CN"/>
        </a:p>
      </c:txPr>
    </c:title>
    <c:autoTitleDeleted val="0"/>
    <c:pivotFmts>
      <c:pivotFmt>
        <c:idx val="0"/>
        <c:marker>
          <c:symbol val="diamond"/>
          <c:size val="5"/>
        </c:marker>
      </c:pivotFmt>
      <c:pivotFmt>
        <c:idx val="1"/>
        <c:marker>
          <c:symbol val="diamond"/>
          <c:size val="5"/>
        </c:marker>
      </c:pivotFmt>
      <c:pivotFmt>
        <c:idx val="2"/>
        <c:spPr>
          <a:solidFill>
            <a:schemeClr val="accent1"/>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3"/>
          </a:solidFill>
          <a:ln>
            <a:noFill/>
          </a:ln>
          <a:effectLst/>
        </c:spPr>
        <c:marker>
          <c:symbol val="none"/>
        </c:marker>
      </c:pivotFmt>
      <c:pivotFmt>
        <c:idx val="5"/>
        <c:marker>
          <c:symbol val="none"/>
        </c:marker>
      </c:pivotFmt>
      <c:pivotFmt>
        <c:idx val="6"/>
        <c:marker>
          <c:symbol val="none"/>
        </c:marker>
      </c:pivotFmt>
    </c:pivotFmts>
    <c:plotArea>
      <c:layout/>
      <c:barChart>
        <c:barDir val="col"/>
        <c:grouping val="clustered"/>
        <c:varyColors val="0"/>
        <c:ser>
          <c:idx val="0"/>
          <c:order val="0"/>
          <c:tx>
            <c:strRef>
              <c:f>图表数据!$C$3:$C$4</c:f>
              <c:strCache>
                <c:ptCount val="1"/>
                <c:pt idx="0">
                  <c:v>其他 </c:v>
                </c:pt>
              </c:strCache>
            </c:strRef>
          </c:tx>
          <c:invertIfNegative val="0"/>
          <c:cat>
            <c:strRef>
              <c:f>图表数据!$B$5:$B$6</c:f>
              <c:strCache>
                <c:ptCount val="1"/>
                <c:pt idx="0">
                  <c:v>5月</c:v>
                </c:pt>
              </c:strCache>
            </c:strRef>
          </c:cat>
          <c:val>
            <c:numRef>
              <c:f>图表数据!$C$5:$C$6</c:f>
              <c:numCache>
                <c:formatCode>0.00_);\!\(0.00\!\)</c:formatCode>
                <c:ptCount val="1"/>
                <c:pt idx="0">
                  <c:v>30</c:v>
                </c:pt>
              </c:numCache>
            </c:numRef>
          </c:val>
          <c:extLst>
            <c:ext xmlns:c16="http://schemas.microsoft.com/office/drawing/2014/chart" uri="{C3380CC4-5D6E-409C-BE32-E72D297353CC}">
              <c16:uniqueId val="{00000000-0522-418E-80D1-1B11895FA259}"/>
            </c:ext>
          </c:extLst>
        </c:ser>
        <c:dLbls>
          <c:showLegendKey val="0"/>
          <c:showVal val="0"/>
          <c:showCatName val="0"/>
          <c:showSerName val="0"/>
          <c:showPercent val="0"/>
          <c:showBubbleSize val="0"/>
        </c:dLbls>
        <c:gapWidth val="219"/>
        <c:overlap val="-27"/>
        <c:axId val="145430160"/>
        <c:axId val="145430720"/>
      </c:barChart>
      <c:catAx>
        <c:axId val="1454301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430720"/>
        <c:crosses val="autoZero"/>
        <c:auto val="1"/>
        <c:lblAlgn val="ctr"/>
        <c:lblOffset val="100"/>
        <c:noMultiLvlLbl val="0"/>
      </c:catAx>
      <c:valAx>
        <c:axId val="145430720"/>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430160"/>
        <c:crosses val="autoZero"/>
        <c:crossBetween val="between"/>
        <c:majorUnit val="50"/>
        <c:minorUnit val="25"/>
      </c:valAx>
      <c:spPr>
        <a:noFill/>
        <a:ln>
          <a:noFill/>
        </a:ln>
        <a:effectLst/>
      </c:spPr>
    </c:plotArea>
    <c:legend>
      <c:legendPos val="b"/>
      <c:layout>
        <c:manualLayout>
          <c:xMode val="edge"/>
          <c:yMode val="edge"/>
          <c:x val="6.0170304639654427E-2"/>
          <c:y val="0.90878067705040522"/>
          <c:w val="8.4448703171362841E-2"/>
          <c:h val="6.10587632975048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2" Type="http://schemas.openxmlformats.org/officeDocument/2006/relationships/hyperlink" Target="#&#27599;&#26376;&#25688;&#35201;!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20010;&#20154;&#36164;&#37329;&#36319;&#36394;&#22120;!A1"/></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9526</xdr:rowOff>
    </xdr:from>
    <xdr:to>
      <xdr:col>2</xdr:col>
      <xdr:colOff>3963</xdr:colOff>
      <xdr:row>23</xdr:row>
      <xdr:rowOff>190500</xdr:rowOff>
    </xdr:to>
    <xdr:grpSp>
      <xdr:nvGrpSpPr>
        <xdr:cNvPr id="28" name="资金跟踪器图表组" title="资金跟踪器图表组">
          <a:extLst>
            <a:ext uri="{FF2B5EF4-FFF2-40B4-BE49-F238E27FC236}">
              <a16:creationId xmlns:a16="http://schemas.microsoft.com/office/drawing/2014/main" id="{00000000-0008-0000-0000-00001C000000}"/>
            </a:ext>
          </a:extLst>
        </xdr:cNvPr>
        <xdr:cNvGrpSpPr/>
      </xdr:nvGrpSpPr>
      <xdr:grpSpPr>
        <a:xfrm>
          <a:off x="152400" y="819151"/>
          <a:ext cx="1023138" cy="6981824"/>
          <a:chOff x="152400" y="952501"/>
          <a:chExt cx="1023138" cy="4948338"/>
        </a:xfrm>
      </xdr:grpSpPr>
      <xdr:graphicFrame macro="">
        <xdr:nvGraphicFramePr>
          <xdr:cNvPr id="2" name="资金跟踪器图表">
            <a:extLst>
              <a:ext uri="{FF2B5EF4-FFF2-40B4-BE49-F238E27FC236}">
                <a16:creationId xmlns:a16="http://schemas.microsoft.com/office/drawing/2014/main" id="{00000000-0008-0000-0000-000002000000}"/>
              </a:ext>
            </a:extLst>
          </xdr:cNvPr>
          <xdr:cNvGraphicFramePr/>
        </xdr:nvGraphicFramePr>
        <xdr:xfrm>
          <a:off x="252414" y="1133281"/>
          <a:ext cx="757235" cy="401021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6" name="图表边框 2">
            <a:extLst>
              <a:ext uri="{FF2B5EF4-FFF2-40B4-BE49-F238E27FC236}">
                <a16:creationId xmlns:a16="http://schemas.microsoft.com/office/drawing/2014/main" id="{00000000-0008-0000-0000-000010000000}"/>
              </a:ext>
            </a:extLst>
          </xdr:cNvPr>
          <xdr:cNvSpPr/>
        </xdr:nvSpPr>
        <xdr:spPr>
          <a:xfrm>
            <a:off x="153594" y="952501"/>
            <a:ext cx="1021944" cy="4466659"/>
          </a:xfrm>
          <a:prstGeom prst="rect">
            <a:avLst/>
          </a:prstGeom>
          <a:noFill/>
          <a:ln w="3175">
            <a:solidFill>
              <a:schemeClr val="bg1">
                <a:lumMod val="8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图表边框 1">
            <a:extLst>
              <a:ext uri="{FF2B5EF4-FFF2-40B4-BE49-F238E27FC236}">
                <a16:creationId xmlns:a16="http://schemas.microsoft.com/office/drawing/2014/main" id="{00000000-0008-0000-0000-000011000000}"/>
              </a:ext>
            </a:extLst>
          </xdr:cNvPr>
          <xdr:cNvSpPr/>
        </xdr:nvSpPr>
        <xdr:spPr>
          <a:xfrm>
            <a:off x="152400" y="5421488"/>
            <a:ext cx="1021944" cy="479351"/>
          </a:xfrm>
          <a:prstGeom prst="rect">
            <a:avLst/>
          </a:prstGeom>
          <a:noFill/>
          <a:ln w="3175">
            <a:solidFill>
              <a:schemeClr val="bg1">
                <a:lumMod val="8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grpSp>
    <xdr:clientData/>
  </xdr:twoCellAnchor>
  <xdr:twoCellAnchor>
    <xdr:from>
      <xdr:col>5</xdr:col>
      <xdr:colOff>900718</xdr:colOff>
      <xdr:row>0</xdr:row>
      <xdr:rowOff>231176</xdr:rowOff>
    </xdr:from>
    <xdr:to>
      <xdr:col>7</xdr:col>
      <xdr:colOff>15018</xdr:colOff>
      <xdr:row>1</xdr:row>
      <xdr:rowOff>0</xdr:rowOff>
    </xdr:to>
    <xdr:sp macro="" textlink="">
      <xdr:nvSpPr>
        <xdr:cNvPr id="3" name="“每月摘要”按钮" title="“每月摘要”导航按钮">
          <a:hlinkClick xmlns:r="http://schemas.openxmlformats.org/officeDocument/2006/relationships" r:id="rId2" tooltip="单击可查看每月摘要"/>
          <a:extLst>
            <a:ext uri="{FF2B5EF4-FFF2-40B4-BE49-F238E27FC236}">
              <a16:creationId xmlns:a16="http://schemas.microsoft.com/office/drawing/2014/main" id="{00000000-0008-0000-0000-000003000000}"/>
            </a:ext>
          </a:extLst>
        </xdr:cNvPr>
        <xdr:cNvSpPr/>
      </xdr:nvSpPr>
      <xdr:spPr>
        <a:xfrm>
          <a:off x="5415568" y="231176"/>
          <a:ext cx="1505075" cy="254599"/>
        </a:xfrm>
        <a:prstGeom prst="round2SameRect">
          <a:avLst/>
        </a:prstGeom>
        <a:gradFill flip="none" rotWithShape="1">
          <a:gsLst>
            <a:gs pos="27000">
              <a:schemeClr val="accent1"/>
            </a:gs>
            <a:gs pos="90000">
              <a:schemeClr val="accent1">
                <a:lumMod val="40000"/>
                <a:lumOff val="60000"/>
              </a:schemeClr>
            </a:gs>
            <a:gs pos="67000">
              <a:schemeClr val="accent1">
                <a:lumMod val="60000"/>
                <a:lumOff val="40000"/>
              </a:schemeClr>
            </a:gs>
          </a:gsLst>
          <a:lin ang="1620000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zh-CN" altLang="en-US" sz="1100" i="1">
              <a:solidFill>
                <a:schemeClr val="tx2">
                  <a:lumMod val="75000"/>
                </a:schemeClr>
              </a:solidFill>
              <a:latin typeface="Microsoft YaHei UI" panose="020B0503020204020204" pitchFamily="34" charset="-122"/>
              <a:ea typeface="Microsoft YaHei UI" panose="020B0503020204020204" pitchFamily="34" charset="-122"/>
            </a:rPr>
            <a:t>每月摘要</a:t>
          </a:r>
        </a:p>
      </xdr:txBody>
    </xdr:sp>
    <xdr:clientData fPrintsWithSheet="0"/>
  </xdr:twoCellAnchor>
  <xdr:twoCellAnchor editAs="absolute">
    <xdr:from>
      <xdr:col>7</xdr:col>
      <xdr:colOff>238125</xdr:colOff>
      <xdr:row>13</xdr:row>
      <xdr:rowOff>152399</xdr:rowOff>
    </xdr:from>
    <xdr:to>
      <xdr:col>9</xdr:col>
      <xdr:colOff>438150</xdr:colOff>
      <xdr:row>22</xdr:row>
      <xdr:rowOff>228600</xdr:rowOff>
    </xdr:to>
    <mc:AlternateContent xmlns:mc="http://schemas.openxmlformats.org/markup-compatibility/2006" xmlns:sle15="http://schemas.microsoft.com/office/drawing/2012/slicer">
      <mc:Choice Requires="sle15">
        <xdr:graphicFrame macro="">
          <xdr:nvGraphicFramePr>
            <xdr:cNvPr id="4" name="说明 1" descr="单击切片器中的说明可按所选项目对帐户摘要进行筛选。要选择多个说明，请使用 Ctrl 并单击鼠标左键。" title="说明切片器">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说明 1"/>
            </a:graphicData>
          </a:graphic>
        </xdr:graphicFrame>
      </mc:Choice>
      <mc:Fallback xmlns="">
        <xdr:sp macro="" textlink="">
          <xdr:nvSpPr>
            <xdr:cNvPr id="0" name=""/>
            <xdr:cNvSpPr>
              <a:spLocks noTextEdit="1"/>
            </xdr:cNvSpPr>
          </xdr:nvSpPr>
          <xdr:spPr>
            <a:xfrm>
              <a:off x="7067550" y="4524374"/>
              <a:ext cx="1562100" cy="2990851"/>
            </a:xfrm>
            <a:prstGeom prst="rect">
              <a:avLst/>
            </a:prstGeom>
            <a:solidFill>
              <a:prstClr val="white"/>
            </a:solidFill>
            <a:ln w="1">
              <a:solidFill>
                <a:prstClr val="green"/>
              </a:solidFill>
            </a:ln>
          </xdr:spPr>
          <xdr:txBody>
            <a:bodyPr vertOverflow="clip" horzOverflow="clip"/>
            <a:lstStyle/>
            <a:p>
              <a:r>
                <a:rPr lang="zh-CN" altLang="en-US" sz="1100"/>
                <a:t>此形状表示表切片器。Excel 2013 或更高版本中支持表切片器。
如果形状是在较早版本的 Excel 中修改的，或者工作簿是使用 Excel 2007 或更早版本保存的，则不能使用切片器。</a:t>
              </a:r>
            </a:p>
          </xdr:txBody>
        </xdr:sp>
      </mc:Fallback>
    </mc:AlternateContent>
    <xdr:clientData fPrintsWithSheet="0"/>
  </xdr:twoCellAnchor>
  <xdr:twoCellAnchor editAs="absolute">
    <xdr:from>
      <xdr:col>7</xdr:col>
      <xdr:colOff>238125</xdr:colOff>
      <xdr:row>9</xdr:row>
      <xdr:rowOff>247650</xdr:rowOff>
    </xdr:from>
    <xdr:to>
      <xdr:col>9</xdr:col>
      <xdr:colOff>438150</xdr:colOff>
      <xdr:row>13</xdr:row>
      <xdr:rowOff>161925</xdr:rowOff>
    </xdr:to>
    <mc:AlternateContent xmlns:mc="http://schemas.openxmlformats.org/markup-compatibility/2006" xmlns:sle15="http://schemas.microsoft.com/office/drawing/2012/slicer">
      <mc:Choice Requires="sle15">
        <xdr:graphicFrame macro="">
          <xdr:nvGraphicFramePr>
            <xdr:cNvPr id="5" name="帐户 1">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帐户 1"/>
            </a:graphicData>
          </a:graphic>
        </xdr:graphicFrame>
      </mc:Choice>
      <mc:Fallback xmlns="">
        <xdr:sp macro="" textlink="">
          <xdr:nvSpPr>
            <xdr:cNvPr id="0" name=""/>
            <xdr:cNvSpPr>
              <a:spLocks noTextEdit="1"/>
            </xdr:cNvSpPr>
          </xdr:nvSpPr>
          <xdr:spPr>
            <a:xfrm>
              <a:off x="7067550" y="3324225"/>
              <a:ext cx="1562100" cy="1209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can be used in at least Excel 15.
If the shape was modified in an earlier version of Excel, or if the workbook was saved in Excel 2010 or earlier, the slicer cannot be used.</a:t>
              </a:r>
            </a:p>
          </xdr:txBody>
        </xdr:sp>
      </mc:Fallback>
    </mc:AlternateContent>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28577</xdr:colOff>
      <xdr:row>1</xdr:row>
      <xdr:rowOff>85726</xdr:rowOff>
    </xdr:from>
    <xdr:to>
      <xdr:col>4</xdr:col>
      <xdr:colOff>333375</xdr:colOff>
      <xdr:row>1</xdr:row>
      <xdr:rowOff>295276</xdr:rowOff>
    </xdr:to>
    <xdr:sp macro="" textlink="">
      <xdr:nvSpPr>
        <xdr:cNvPr id="4" name="数据透视表刷新备注" descr="要更新此数据，请右键单击“支出摘要”下面的数据透视表，然后单击“刷新”。" title="注意">
          <a:extLst>
            <a:ext uri="{FF2B5EF4-FFF2-40B4-BE49-F238E27FC236}">
              <a16:creationId xmlns:a16="http://schemas.microsoft.com/office/drawing/2014/main" id="{00000000-0008-0000-0100-000004000000}"/>
            </a:ext>
          </a:extLst>
        </xdr:cNvPr>
        <xdr:cNvSpPr txBox="1"/>
      </xdr:nvSpPr>
      <xdr:spPr>
        <a:xfrm>
          <a:off x="180977" y="571501"/>
          <a:ext cx="5257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t"/>
        <a:lstStyle/>
        <a:p>
          <a:r>
            <a:rPr lang="zh-CN" altLang="en-US" sz="900" i="1">
              <a:solidFill>
                <a:schemeClr val="tx1">
                  <a:lumMod val="65000"/>
                  <a:lumOff val="35000"/>
                </a:schemeClr>
              </a:solidFill>
              <a:latin typeface="Microsoft YaHei UI" panose="020B0503020204020204" pitchFamily="34" charset="-122"/>
              <a:ea typeface="Microsoft YaHei UI" panose="020B0503020204020204" pitchFamily="34" charset="-122"/>
            </a:rPr>
            <a:t>要更新此数据，请右键单击“支出摘要”下面的数据透视表，然后单击“刷新”。</a:t>
          </a:r>
          <a:endParaRPr lang="en-US" sz="900" i="1">
            <a:solidFill>
              <a:schemeClr val="tx1">
                <a:lumMod val="65000"/>
                <a:lumOff val="35000"/>
              </a:schemeClr>
            </a:solidFill>
            <a:latin typeface="Microsoft YaHei UI" panose="020B0503020204020204" pitchFamily="34" charset="-122"/>
            <a:ea typeface="Microsoft YaHei UI" panose="020B0503020204020204" pitchFamily="34" charset="-122"/>
          </a:endParaRPr>
        </a:p>
      </xdr:txBody>
    </xdr:sp>
    <xdr:clientData fPrintsWithSheet="0"/>
  </xdr:twoCellAnchor>
  <xdr:twoCellAnchor editAs="absolute">
    <xdr:from>
      <xdr:col>4</xdr:col>
      <xdr:colOff>1169770</xdr:colOff>
      <xdr:row>0</xdr:row>
      <xdr:rowOff>228600</xdr:rowOff>
    </xdr:from>
    <xdr:to>
      <xdr:col>5</xdr:col>
      <xdr:colOff>1314450</xdr:colOff>
      <xdr:row>0</xdr:row>
      <xdr:rowOff>484632</xdr:rowOff>
    </xdr:to>
    <xdr:sp macro="" textlink="">
      <xdr:nvSpPr>
        <xdr:cNvPr id="10" name="“每月摘要”按钮" title="个人资金跟踪器导航按钮">
          <a:hlinkClick xmlns:r="http://schemas.openxmlformats.org/officeDocument/2006/relationships" r:id="rId1" tooltip="单击可查看个人资金跟踪器"/>
          <a:extLst>
            <a:ext uri="{FF2B5EF4-FFF2-40B4-BE49-F238E27FC236}">
              <a16:creationId xmlns:a16="http://schemas.microsoft.com/office/drawing/2014/main" id="{00000000-0008-0000-0100-00000A000000}"/>
            </a:ext>
          </a:extLst>
        </xdr:cNvPr>
        <xdr:cNvSpPr/>
      </xdr:nvSpPr>
      <xdr:spPr>
        <a:xfrm>
          <a:off x="5608420" y="228600"/>
          <a:ext cx="1497230" cy="256032"/>
        </a:xfrm>
        <a:prstGeom prst="round2SameRect">
          <a:avLst/>
        </a:prstGeom>
        <a:gradFill flip="none" rotWithShape="1">
          <a:gsLst>
            <a:gs pos="27000">
              <a:schemeClr val="accent1"/>
            </a:gs>
            <a:gs pos="90000">
              <a:schemeClr val="accent1">
                <a:lumMod val="40000"/>
                <a:lumOff val="60000"/>
              </a:schemeClr>
            </a:gs>
            <a:gs pos="67000">
              <a:schemeClr val="accent1">
                <a:lumMod val="60000"/>
                <a:lumOff val="40000"/>
              </a:schemeClr>
            </a:gs>
          </a:gsLst>
          <a:lin ang="1620000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zh-CN" altLang="en-US" sz="1100" i="1">
              <a:solidFill>
                <a:schemeClr val="tx2">
                  <a:lumMod val="75000"/>
                </a:schemeClr>
              </a:solidFill>
              <a:latin typeface="Microsoft YaHei UI" panose="020B0503020204020204" pitchFamily="34" charset="-122"/>
              <a:ea typeface="Microsoft YaHei UI" panose="020B0503020204020204" pitchFamily="34" charset="-122"/>
            </a:rPr>
            <a:t>资金跟踪器</a:t>
          </a:r>
        </a:p>
      </xdr:txBody>
    </xdr:sp>
    <xdr:clientData fPrintsWithSheet="0"/>
  </xdr:twoCellAnchor>
  <xdr:twoCellAnchor>
    <xdr:from>
      <xdr:col>1</xdr:col>
      <xdr:colOff>76199</xdr:colOff>
      <xdr:row>2</xdr:row>
      <xdr:rowOff>61911</xdr:rowOff>
    </xdr:from>
    <xdr:to>
      <xdr:col>4</xdr:col>
      <xdr:colOff>1190624</xdr:colOff>
      <xdr:row>14</xdr:row>
      <xdr:rowOff>257174</xdr:rowOff>
    </xdr:to>
    <xdr:graphicFrame macro="">
      <xdr:nvGraphicFramePr>
        <xdr:cNvPr id="2" name="帐户摘要" descr="柱形数据透视图按月份显示支票帐户和储蓄帐户总计的细目。" title="帐户摘要">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1085850</xdr:colOff>
      <xdr:row>6</xdr:row>
      <xdr:rowOff>161925</xdr:rowOff>
    </xdr:from>
    <xdr:to>
      <xdr:col>6</xdr:col>
      <xdr:colOff>209550</xdr:colOff>
      <xdr:row>14</xdr:row>
      <xdr:rowOff>95250</xdr:rowOff>
    </xdr:to>
    <mc:AlternateContent xmlns:mc="http://schemas.openxmlformats.org/markup-compatibility/2006" xmlns:a14="http://schemas.microsoft.com/office/drawing/2010/main">
      <mc:Choice Requires="a14">
        <xdr:graphicFrame macro="">
          <xdr:nvGraphicFramePr>
            <xdr:cNvPr id="7" name="说明">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说明"/>
            </a:graphicData>
          </a:graphic>
        </xdr:graphicFrame>
      </mc:Choice>
      <mc:Fallback xmlns="">
        <xdr:sp macro="" textlink="">
          <xdr:nvSpPr>
            <xdr:cNvPr id="0" name=""/>
            <xdr:cNvSpPr>
              <a:spLocks noTextEdit="1"/>
            </xdr:cNvSpPr>
          </xdr:nvSpPr>
          <xdr:spPr>
            <a:xfrm>
              <a:off x="5524500" y="2447925"/>
              <a:ext cx="1828800" cy="2143125"/>
            </a:xfrm>
            <a:prstGeom prst="rect">
              <a:avLst/>
            </a:prstGeom>
            <a:solidFill>
              <a:prstClr val="white"/>
            </a:solidFill>
            <a:ln w="1">
              <a:solidFill>
                <a:prstClr val="green"/>
              </a:solidFill>
            </a:ln>
          </xdr:spPr>
          <xdr:txBody>
            <a:bodyPr vertOverflow="clip" horzOverflow="clip"/>
            <a:lstStyle/>
            <a:p>
              <a:r>
                <a:rPr lang="zh-CN" altLang="en-US" sz="1100"/>
                <a:t>此形状表示切片器。Excel 2010 或更高版本中支持切片器。
如果在较早版本的 Excel 中修改了形状，或此工作簿是在 Excel 2003 或更早版本中保存的，则不能使用切片器。</a:t>
              </a:r>
            </a:p>
          </xdr:txBody>
        </xdr:sp>
      </mc:Fallback>
    </mc:AlternateContent>
    <xdr:clientData/>
  </xdr:twoCellAnchor>
  <xdr:twoCellAnchor editAs="oneCell">
    <xdr:from>
      <xdr:col>4</xdr:col>
      <xdr:colOff>1133475</xdr:colOff>
      <xdr:row>2</xdr:row>
      <xdr:rowOff>38101</xdr:rowOff>
    </xdr:from>
    <xdr:to>
      <xdr:col>6</xdr:col>
      <xdr:colOff>257175</xdr:colOff>
      <xdr:row>6</xdr:row>
      <xdr:rowOff>57151</xdr:rowOff>
    </xdr:to>
    <mc:AlternateContent xmlns:mc="http://schemas.openxmlformats.org/markup-compatibility/2006" xmlns:a14="http://schemas.microsoft.com/office/drawing/2010/main">
      <mc:Choice Requires="a14">
        <xdr:graphicFrame macro="">
          <xdr:nvGraphicFramePr>
            <xdr:cNvPr id="9" name="帐户">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帐户"/>
            </a:graphicData>
          </a:graphic>
        </xdr:graphicFrame>
      </mc:Choice>
      <mc:Fallback xmlns="">
        <xdr:sp macro="" textlink="">
          <xdr:nvSpPr>
            <xdr:cNvPr id="0" name=""/>
            <xdr:cNvSpPr>
              <a:spLocks noTextEdit="1"/>
            </xdr:cNvSpPr>
          </xdr:nvSpPr>
          <xdr:spPr>
            <a:xfrm>
              <a:off x="5572125" y="1219201"/>
              <a:ext cx="1828800" cy="1123950"/>
            </a:xfrm>
            <a:prstGeom prst="rect">
              <a:avLst/>
            </a:prstGeom>
            <a:solidFill>
              <a:prstClr val="white"/>
            </a:solidFill>
            <a:ln w="1">
              <a:solidFill>
                <a:prstClr val="green"/>
              </a:solidFill>
            </a:ln>
          </xdr:spPr>
          <xdr:txBody>
            <a:bodyPr vertOverflow="clip" horzOverflow="clip"/>
            <a:lstStyle/>
            <a:p>
              <a:r>
                <a:rPr lang="zh-CN" altLang="en-US" sz="1100"/>
                <a:t>此形状表示切片器。Excel 2010 或更高版本中支持切片器。
如果在较早版本的 Excel 中修改了形状，或此工作簿是在 Excel 2003 或更早版本中保存的，则不能使用切片器。</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ing" refreshedDate="43006.90682916667" createdVersion="5" refreshedVersion="6" minRefreshableVersion="3" recordCount="11">
  <cacheSource type="worksheet">
    <worksheetSource name="CashSpent"/>
  </cacheSource>
  <cacheFields count="4">
    <cacheField name="日期" numFmtId="14">
      <sharedItems containsSemiMixedTypes="0" containsNonDate="0" containsDate="1" containsString="0" minDate="2012-01-04T00:00:00" maxDate="2012-05-11T00:00:00" count="11">
        <d v="2012-01-04T00:00:00"/>
        <d v="2012-01-05T00:00:00"/>
        <d v="2012-01-06T00:00:00"/>
        <d v="2012-02-03T00:00:00"/>
        <d v="2012-02-07T00:00:00"/>
        <d v="2012-03-01T00:00:00"/>
        <d v="2012-03-06T00:00:00"/>
        <d v="2012-04-06T00:00:00"/>
        <d v="2012-04-20T00:00:00"/>
        <d v="2012-05-03T00:00:00"/>
        <d v="2012-05-10T00:00:00"/>
      </sharedItems>
      <fieldGroup base="0">
        <rangePr groupBy="months" startDate="2012-01-04T00:00:00" endDate="2012-05-11T00:00:00"/>
        <groupItems count="14">
          <s v="&lt;2012/1/4"/>
          <s v="1月"/>
          <s v="2月"/>
          <s v="3月"/>
          <s v="4月"/>
          <s v="5月"/>
          <s v="6月"/>
          <s v="7月"/>
          <s v="8月"/>
          <s v="9月"/>
          <s v="10月"/>
          <s v="11月"/>
          <s v="12月"/>
          <s v="&gt;2012/5/11"/>
        </groupItems>
      </fieldGroup>
    </cacheField>
    <cacheField name="说明" numFmtId="178">
      <sharedItems count="6">
        <s v="ATM 取款 "/>
        <s v="午餐 "/>
        <s v="车贷 "/>
        <s v="电子支付 "/>
        <s v="晚餐 "/>
        <s v="提取现金 "/>
      </sharedItems>
    </cacheField>
    <cacheField name="金额" numFmtId="40">
      <sharedItems containsSemiMixedTypes="0" containsString="0" containsNumber="1" containsInteger="1" minValue="5" maxValue="230"/>
    </cacheField>
    <cacheField name="帐户" numFmtId="178">
      <sharedItems count="3">
        <s v="支票帐户 "/>
        <s v="储蓄帐户 "/>
        <s v="其他 "/>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1">
  <r>
    <x v="0"/>
    <x v="0"/>
    <n v="40"/>
    <x v="0"/>
  </r>
  <r>
    <x v="1"/>
    <x v="1"/>
    <n v="5"/>
    <x v="0"/>
  </r>
  <r>
    <x v="2"/>
    <x v="2"/>
    <n v="230"/>
    <x v="1"/>
  </r>
  <r>
    <x v="3"/>
    <x v="3"/>
    <n v="70"/>
    <x v="0"/>
  </r>
  <r>
    <x v="4"/>
    <x v="4"/>
    <n v="53"/>
    <x v="0"/>
  </r>
  <r>
    <x v="5"/>
    <x v="5"/>
    <n v="100"/>
    <x v="1"/>
  </r>
  <r>
    <x v="6"/>
    <x v="2"/>
    <n v="230"/>
    <x v="0"/>
  </r>
  <r>
    <x v="7"/>
    <x v="3"/>
    <n v="70"/>
    <x v="1"/>
  </r>
  <r>
    <x v="8"/>
    <x v="0"/>
    <n v="30"/>
    <x v="0"/>
  </r>
  <r>
    <x v="9"/>
    <x v="0"/>
    <n v="50"/>
    <x v="1"/>
  </r>
  <r>
    <x v="10"/>
    <x v="0"/>
    <n v="3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MonthlySummary" cacheId="30" applyNumberFormats="0" applyBorderFormats="0" applyFontFormats="0" applyPatternFormats="0" applyAlignmentFormats="0" applyWidthHeightFormats="1" dataCaption="Values" updatedVersion="6" minRefreshableVersion="3" fieldPrintTitles="1" itemPrintTitles="1" mergeItem="1" createdVersion="4" indent="0" showHeaders="0" outline="1" outlineData="1" multipleFieldFilters="0" chartFormat="1">
  <location ref="B17:F26" firstHeaderRow="1" firstDataRow="2" firstDataCol="1"/>
  <pivotFields count="4">
    <pivotField axis="axisRow" numFmtId="14" showAll="0" defaultSubtotal="0">
      <items count="14">
        <item x="0"/>
        <item sd="0" x="1"/>
        <item sd="0" x="2"/>
        <item x="3"/>
        <item sd="0" x="4"/>
        <item sd="0" x="5"/>
        <item x="6"/>
        <item x="7"/>
        <item x="8"/>
        <item x="9"/>
        <item x="10"/>
        <item x="11"/>
        <item x="12"/>
        <item x="13"/>
      </items>
    </pivotField>
    <pivotField axis="axisRow" showAll="0" defaultSubtotal="0">
      <items count="6">
        <item x="0"/>
        <item x="2"/>
        <item x="3"/>
        <item x="5"/>
        <item x="4"/>
        <item x="1"/>
      </items>
    </pivotField>
    <pivotField dataField="1" numFmtId="40" showAll="0" defaultSubtotal="0"/>
    <pivotField axis="axisCol" showAll="0" defaultSubtotal="0">
      <items count="3">
        <item x="1"/>
        <item x="2"/>
        <item x="0"/>
      </items>
    </pivotField>
  </pivotFields>
  <rowFields count="2">
    <field x="0"/>
    <field x="1"/>
  </rowFields>
  <rowItems count="8">
    <i>
      <x v="1"/>
    </i>
    <i>
      <x v="2"/>
    </i>
    <i>
      <x v="3"/>
    </i>
    <i r="1">
      <x v="1"/>
    </i>
    <i r="1">
      <x v="3"/>
    </i>
    <i>
      <x v="4"/>
    </i>
    <i>
      <x v="5"/>
    </i>
    <i t="grand">
      <x/>
    </i>
  </rowItems>
  <colFields count="1">
    <field x="3"/>
  </colFields>
  <colItems count="4">
    <i>
      <x/>
    </i>
    <i>
      <x v="1"/>
    </i>
    <i>
      <x v="2"/>
    </i>
    <i t="grand">
      <x/>
    </i>
  </colItems>
  <dataFields count="1">
    <dataField name="求和项:金额" fld="2" baseField="0" baseItem="0"/>
  </dataFields>
  <formats count="14">
    <format dxfId="45">
      <pivotArea type="origin" dataOnly="0" labelOnly="1" outline="0" fieldPosition="0"/>
    </format>
    <format dxfId="44">
      <pivotArea type="origin" dataOnly="0" labelOnly="1" outline="0" fieldPosition="0"/>
    </format>
    <format dxfId="43">
      <pivotArea dataOnly="0" labelOnly="1" grandCol="1" outline="0" fieldPosition="0"/>
    </format>
    <format dxfId="42">
      <pivotArea type="origin" dataOnly="0" labelOnly="1" outline="0" fieldPosition="0"/>
    </format>
    <format dxfId="41">
      <pivotArea type="origin" dataOnly="0" labelOnly="1" outline="0" fieldPosition="0"/>
    </format>
    <format dxfId="40">
      <pivotArea type="origin" dataOnly="0" labelOnly="1" outline="0" fieldPosition="0"/>
    </format>
    <format dxfId="39">
      <pivotArea dataOnly="0" labelOnly="1" grandCol="1" outline="0" fieldPosition="0"/>
    </format>
    <format dxfId="38">
      <pivotArea type="all" dataOnly="0" outline="0" fieldPosition="0"/>
    </format>
    <format dxfId="37">
      <pivotArea outline="0" collapsedLevelsAreSubtotals="1" fieldPosition="0"/>
    </format>
    <format dxfId="36">
      <pivotArea dataOnly="0" labelOnly="1" fieldPosition="0">
        <references count="1">
          <reference field="0" count="5">
            <x v="1"/>
            <x v="2"/>
            <x v="3"/>
            <x v="4"/>
            <x v="5"/>
          </reference>
        </references>
      </pivotArea>
    </format>
    <format dxfId="35">
      <pivotArea dataOnly="0" labelOnly="1" grandRow="1" outline="0" fieldPosition="0"/>
    </format>
    <format dxfId="34">
      <pivotArea dataOnly="0" labelOnly="1" fieldPosition="0">
        <references count="2">
          <reference field="0" count="1" selected="0">
            <x v="3"/>
          </reference>
          <reference field="1" count="2">
            <x v="1"/>
            <x v="3"/>
          </reference>
        </references>
      </pivotArea>
    </format>
    <format dxfId="33">
      <pivotArea dataOnly="0" labelOnly="1" fieldPosition="0">
        <references count="1">
          <reference field="3" count="0"/>
        </references>
      </pivotArea>
    </format>
    <format dxfId="32">
      <pivotArea dataOnly="0" labelOnly="1" grandCol="1" outline="0" fieldPosition="0"/>
    </format>
  </formats>
  <pivotTableStyleInfo name="Monthly Summary" showRowHeaders="1" showColHeaders="1" showRowStripes="1" showColStripes="0" showLastColumn="1"/>
  <extLst>
    <ext xmlns:x14="http://schemas.microsoft.com/office/spreadsheetml/2009/9/main" uri="{962EF5D1-5CA2-4c93-8EF4-DBF5C05439D2}">
      <x14:pivotTableDefinition xmlns:xm="http://schemas.microsoft.com/office/excel/2006/main" altText="Monthly Summary PivotTable" altTextSummary="Provides a summary of cash expenditures that is cross tabulated by month and by account."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AccountSummaryPivotTable" cacheId="3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4">
  <location ref="B3:D6" firstHeaderRow="1" firstDataRow="2" firstDataCol="1"/>
  <pivotFields count="4">
    <pivotField axis="axisRow" numFmtId="14" showAll="0" defaultSubtotal="0">
      <items count="14">
        <item x="0"/>
        <item x="1"/>
        <item x="2"/>
        <item x="3"/>
        <item x="4"/>
        <item x="5"/>
        <item x="6"/>
        <item x="7"/>
        <item x="8"/>
        <item x="9"/>
        <item x="10"/>
        <item x="11"/>
        <item x="12"/>
        <item x="13"/>
      </items>
    </pivotField>
    <pivotField showAll="0" defaultSubtotal="0">
      <items count="6">
        <item x="0"/>
        <item x="2"/>
        <item x="3"/>
        <item x="5"/>
        <item x="4"/>
        <item x="1"/>
      </items>
    </pivotField>
    <pivotField dataField="1" numFmtId="40" showAll="0" defaultSubtotal="0"/>
    <pivotField axis="axisCol" showAll="0" defaultSubtotal="0">
      <items count="3">
        <item h="1" x="1"/>
        <item x="2"/>
        <item h="1" x="0"/>
      </items>
    </pivotField>
  </pivotFields>
  <rowFields count="1">
    <field x="0"/>
  </rowFields>
  <rowItems count="2">
    <i>
      <x v="5"/>
    </i>
    <i t="grand">
      <x/>
    </i>
  </rowItems>
  <colFields count="1">
    <field x="3"/>
  </colFields>
  <colItems count="2">
    <i>
      <x v="1"/>
    </i>
    <i t="grand">
      <x/>
    </i>
  </colItems>
  <dataFields count="1">
    <dataField name="求和项:金额" fld="2" baseField="0" baseItem="0"/>
  </dataFields>
  <formats count="9">
    <format dxfId="31">
      <pivotArea type="origin" dataOnly="0" labelOnly="1" outline="0" fieldPosition="0"/>
    </format>
    <format dxfId="30">
      <pivotArea dataOnly="0" labelOnly="1" grandCol="1" outline="0" fieldPosition="0"/>
    </format>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fieldPosition="0">
        <references count="1">
          <reference field="0" count="5">
            <x v="1"/>
            <x v="2"/>
            <x v="3"/>
            <x v="4"/>
            <x v="5"/>
          </reference>
        </references>
      </pivotArea>
    </format>
    <format dxfId="25">
      <pivotArea dataOnly="0" labelOnly="1" grandRow="1" outline="0" fieldPosition="0"/>
    </format>
    <format dxfId="24">
      <pivotArea dataOnly="0" labelOnly="1" fieldPosition="0">
        <references count="1">
          <reference field="3" count="0"/>
        </references>
      </pivotArea>
    </format>
    <format dxfId="23">
      <pivotArea dataOnly="0" labelOnly="1" grandCol="1" outline="0" fieldPosition="0"/>
    </format>
  </formats>
  <chartFormats count="1">
    <chartFormat chart="8" format="6" series="1">
      <pivotArea type="data" outline="0" fieldPosition="0">
        <references count="1">
          <reference field="4294967294" count="1" selected="0">
            <x v="0"/>
          </reference>
        </references>
      </pivotArea>
    </chartFormat>
  </chartFormats>
  <pivotTableStyleInfo name="Monthly Summary PivotTable data" showRowHeaders="1" showColHeaders="1" showRowStripes="0" showColStripes="0" showLastColumn="1"/>
  <extLst>
    <ext xmlns:x14="http://schemas.microsoft.com/office/spreadsheetml/2009/9/main" uri="{962EF5D1-5CA2-4c93-8EF4-DBF5C05439D2}">
      <x14:pivotTableDefinition xmlns:xm="http://schemas.microsoft.com/office/excel/2006/main" altText="PivotChart data" altTextSummary="This PivotTable used as data source for the Account Summary PivotChart on the Monthly Summary sheet. "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切片器_说明" sourceName="说明">
  <pivotTables>
    <pivotTable tabId="3" name="AccountSummaryPivotTable"/>
  </pivotTables>
  <data>
    <tabular pivotCacheId="2">
      <items count="6">
        <i x="0" s="1"/>
        <i x="2" s="1" nd="1"/>
        <i x="3" s="1" nd="1"/>
        <i x="5" s="1" nd="1"/>
        <i x="4"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切片器_帐户" sourceName="帐户">
  <pivotTables>
    <pivotTable tabId="3" name="AccountSummaryPivotTable"/>
  </pivotTables>
  <data>
    <tabular pivotCacheId="2">
      <items count="3">
        <i x="1"/>
        <i x="2" s="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escription2" sourceName="说明">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count1" sourceName="帐户">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说明 1" cache="Slicer_Description2" caption="说明" rowHeight="209550"/>
  <slicer name="帐户 1" cache="Slicer_Account1" caption="帐户" rowHeight="209550"/>
</slicers>
</file>

<file path=xl/slicers/slicer2.xml><?xml version="1.0" encoding="utf-8"?>
<slicers xmlns="http://schemas.microsoft.com/office/spreadsheetml/2009/9/main" xmlns:mc="http://schemas.openxmlformats.org/markup-compatibility/2006" xmlns:x="http://schemas.openxmlformats.org/spreadsheetml/2006/main" mc:Ignorable="x">
  <slicer name="说明" cache="切片器_说明" caption="说明" rowHeight="193675"/>
  <slicer name="帐户" cache="切片器_帐户" caption="帐户" rowHeight="193675"/>
</slicers>
</file>

<file path=xl/tables/table1.xml><?xml version="1.0" encoding="utf-8"?>
<table xmlns="http://schemas.openxmlformats.org/spreadsheetml/2006/main" id="1" name="CashSpent" displayName="CashSpent" ref="D11:G22" headerRowDxfId="67" dataDxfId="66" totalsRowDxfId="65">
  <autoFilter ref="D11:G22"/>
  <tableColumns count="4">
    <tableColumn id="1" name="日期" totalsRowLabel="Total" dataDxfId="64" totalsRowDxfId="63"/>
    <tableColumn id="2" name="说明" dataDxfId="62" totalsRowDxfId="61"/>
    <tableColumn id="3" name="金额" totalsRowFunction="sum" dataDxfId="60" totalsRowDxfId="59"/>
    <tableColumn id="4" name="帐户" dataDxfId="58" totalsRowDxfId="57"/>
  </tableColumns>
  <tableStyleInfo name="Cash Spent Table" showFirstColumn="0" showLastColumn="0" showRowStripes="1" showColumnStripes="1"/>
  <extLst>
    <ext xmlns:x14="http://schemas.microsoft.com/office/spreadsheetml/2009/9/main" uri="{504A1905-F514-4f6f-8877-14C23A59335A}">
      <x14:table altText="Cash I've Spent" altTextSummary="Table to track cash transactions. Includes date, description, amount, and Account."/>
    </ext>
  </extLst>
</table>
</file>

<file path=xl/tables/table2.xml><?xml version="1.0" encoding="utf-8"?>
<table xmlns="http://schemas.openxmlformats.org/spreadsheetml/2006/main" id="2" name="CashSummaryTable" displayName="CashSummaryTable" ref="D4:G8" totalsRowCount="1" headerRowDxfId="56" dataDxfId="55" totalsRowDxfId="54">
  <tableColumns count="4">
    <tableColumn id="1" name="帐户" totalsRowLabel=" 总计  " dataDxfId="53" totalsRowDxfId="52"/>
    <tableColumn id="3" name="起始现金" totalsRowFunction="sum" dataDxfId="51" totalsRowDxfId="50"/>
    <tableColumn id="2" name="支出总计" totalsRowFunction="sum" dataDxfId="49" totalsRowDxfId="48">
      <calculatedColumnFormula>SUMIF(CashSpent[帐户],"=" &amp;CashSummaryTable[[#This Row],[帐户]],CashSpent[金额])</calculatedColumnFormula>
    </tableColumn>
    <tableColumn id="4" name="剩余现金" totalsRowFunction="sum" dataDxfId="47" totalsRowDxfId="46">
      <calculatedColumnFormula>CashSummaryTable[[#This Row],[起始现金]]-CashSummaryTable[[#This Row],[支出总计]]</calculatedColumnFormula>
    </tableColumn>
  </tableColumns>
  <tableStyleInfo name="CashSummaryTable" showFirstColumn="0" showLastColumn="0" showRowStripes="0" showColumnStripes="1"/>
  <extLst>
    <ext xmlns:x14="http://schemas.microsoft.com/office/spreadsheetml/2009/9/main" uri="{504A1905-F514-4f6f-8877-14C23A59335A}">
      <x14:table altText="Cash Summary" altTextSummary="Table that summarizes starting cash, spending total, and cash available for each account."/>
    </ext>
  </extLst>
</table>
</file>

<file path=xl/theme/theme1.xml><?xml version="1.0" encoding="utf-8"?>
<a:theme xmlns:a="http://schemas.openxmlformats.org/drawingml/2006/main" name="Office Theme">
  <a:themeElements>
    <a:clrScheme name="Money Tracker">
      <a:dk1>
        <a:sysClr val="windowText" lastClr="000000"/>
      </a:dk1>
      <a:lt1>
        <a:sysClr val="window" lastClr="FFFFFF"/>
      </a:lt1>
      <a:dk2>
        <a:srgbClr val="404041"/>
      </a:dk2>
      <a:lt2>
        <a:srgbClr val="FFFF99"/>
      </a:lt2>
      <a:accent1>
        <a:srgbClr val="B5D67E"/>
      </a:accent1>
      <a:accent2>
        <a:srgbClr val="6DCEF5"/>
      </a:accent2>
      <a:accent3>
        <a:srgbClr val="FCEE1E"/>
      </a:accent3>
      <a:accent4>
        <a:srgbClr val="FAAF4E"/>
      </a:accent4>
      <a:accent5>
        <a:srgbClr val="31859B"/>
      </a:accent5>
      <a:accent6>
        <a:srgbClr val="DB7713"/>
      </a:accent6>
      <a:hlink>
        <a:srgbClr val="4BACC6"/>
      </a:hlink>
      <a:folHlink>
        <a:srgbClr val="E36C0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pageSetUpPr autoPageBreaks="0" fitToPage="1"/>
  </sheetPr>
  <dimension ref="B1:G25"/>
  <sheetViews>
    <sheetView showGridLines="0" tabSelected="1" zoomScaleNormal="100" workbookViewId="0"/>
  </sheetViews>
  <sheetFormatPr defaultRowHeight="25.5" customHeight="1" x14ac:dyDescent="0.35"/>
  <cols>
    <col min="1" max="1" width="2.28515625" style="1" customWidth="1"/>
    <col min="2" max="2" width="15.28515625" style="1" customWidth="1"/>
    <col min="3" max="3" width="7.5703125" style="1" customWidth="1"/>
    <col min="4" max="4" width="18.7109375" style="1" customWidth="1"/>
    <col min="5" max="5" width="22.5703125" style="1" customWidth="1"/>
    <col min="6" max="6" width="17.28515625" style="1" customWidth="1"/>
    <col min="7" max="7" width="18.7109375" style="1" customWidth="1"/>
    <col min="8" max="8" width="5.5703125" style="1" customWidth="1"/>
    <col min="9" max="9" width="14.85546875" style="1" bestFit="1" customWidth="1"/>
    <col min="10" max="10" width="16.28515625" style="1" bestFit="1" customWidth="1"/>
    <col min="11" max="12" width="12.7109375" style="1" customWidth="1"/>
    <col min="13" max="16384" width="9.140625" style="1"/>
  </cols>
  <sheetData>
    <row r="1" spans="2:7" ht="38.25" customHeight="1" x14ac:dyDescent="0.35">
      <c r="B1" s="2" t="s">
        <v>8</v>
      </c>
      <c r="C1" s="3"/>
      <c r="D1" s="3"/>
      <c r="E1" s="3"/>
      <c r="F1" s="3"/>
      <c r="G1" s="3"/>
    </row>
    <row r="2" spans="2:7" ht="25.5" customHeight="1" x14ac:dyDescent="0.5">
      <c r="D2" s="4"/>
    </row>
    <row r="3" spans="2:7" ht="25.5" customHeight="1" x14ac:dyDescent="0.35">
      <c r="D3" s="5" t="s">
        <v>9</v>
      </c>
    </row>
    <row r="4" spans="2:7" ht="25.5" customHeight="1" x14ac:dyDescent="0.35">
      <c r="D4" s="6" t="s">
        <v>10</v>
      </c>
      <c r="E4" s="7" t="s">
        <v>11</v>
      </c>
      <c r="F4" s="7" t="s">
        <v>12</v>
      </c>
      <c r="G4" s="7" t="s">
        <v>13</v>
      </c>
    </row>
    <row r="5" spans="2:7" ht="25.5" customHeight="1" x14ac:dyDescent="0.35">
      <c r="D5" s="8" t="s">
        <v>14</v>
      </c>
      <c r="E5" s="9">
        <v>3000</v>
      </c>
      <c r="F5" s="9">
        <f>SUMIF(CashSpent[帐户],"=" &amp;CashSummaryTable[[#This Row],[帐户]],CashSpent[金额])</f>
        <v>428</v>
      </c>
      <c r="G5" s="9">
        <f>CashSummaryTable[[#This Row],[起始现金]]-CashSummaryTable[[#This Row],[支出总计]]</f>
        <v>2572</v>
      </c>
    </row>
    <row r="6" spans="2:7" ht="25.5" customHeight="1" x14ac:dyDescent="0.35">
      <c r="D6" s="8" t="s">
        <v>15</v>
      </c>
      <c r="E6" s="9">
        <v>500</v>
      </c>
      <c r="F6" s="9">
        <f>SUMIF(CashSpent[帐户],"=" &amp;CashSummaryTable[[#This Row],[帐户]],CashSpent[金额])</f>
        <v>450</v>
      </c>
      <c r="G6" s="9">
        <f>CashSummaryTable[[#This Row],[起始现金]]-CashSummaryTable[[#This Row],[支出总计]]</f>
        <v>50</v>
      </c>
    </row>
    <row r="7" spans="2:7" ht="25.5" customHeight="1" x14ac:dyDescent="0.35">
      <c r="D7" s="8" t="s">
        <v>16</v>
      </c>
      <c r="E7" s="9">
        <v>200</v>
      </c>
      <c r="F7" s="9">
        <f>SUMIF(CashSpent[帐户],"=" &amp;CashSummaryTable[[#This Row],[帐户]],CashSpent[金额])</f>
        <v>30</v>
      </c>
      <c r="G7" s="9">
        <f>CashSummaryTable[[#This Row],[起始现金]]-CashSummaryTable[[#This Row],[支出总计]]</f>
        <v>170</v>
      </c>
    </row>
    <row r="8" spans="2:7" ht="25.5" customHeight="1" x14ac:dyDescent="0.35">
      <c r="D8" s="8" t="s">
        <v>17</v>
      </c>
      <c r="E8" s="10">
        <f>SUBTOTAL(109,CashSummaryTable[起始现金])</f>
        <v>3700</v>
      </c>
      <c r="F8" s="10">
        <f>SUBTOTAL(109,CashSummaryTable[支出总计])</f>
        <v>908</v>
      </c>
      <c r="G8" s="10">
        <f>SUBTOTAL(109,CashSummaryTable[剩余现金])</f>
        <v>2792</v>
      </c>
    </row>
    <row r="9" spans="2:7" ht="25.5" customHeight="1" x14ac:dyDescent="0.35">
      <c r="D9" s="35"/>
      <c r="E9" s="35"/>
      <c r="F9" s="35"/>
      <c r="G9" s="35"/>
    </row>
    <row r="10" spans="2:7" ht="25.5" customHeight="1" x14ac:dyDescent="0.35">
      <c r="D10" s="5" t="s">
        <v>18</v>
      </c>
    </row>
    <row r="11" spans="2:7" ht="25.5" customHeight="1" x14ac:dyDescent="0.35">
      <c r="D11" s="11" t="s">
        <v>19</v>
      </c>
      <c r="E11" s="11" t="s">
        <v>20</v>
      </c>
      <c r="F11" s="12" t="s">
        <v>21</v>
      </c>
      <c r="G11" s="11" t="s">
        <v>10</v>
      </c>
    </row>
    <row r="12" spans="2:7" ht="25.5" customHeight="1" x14ac:dyDescent="0.35">
      <c r="D12" s="13">
        <v>40912</v>
      </c>
      <c r="E12" s="14" t="s">
        <v>22</v>
      </c>
      <c r="F12" s="15">
        <v>40</v>
      </c>
      <c r="G12" s="14" t="s">
        <v>14</v>
      </c>
    </row>
    <row r="13" spans="2:7" ht="25.5" customHeight="1" x14ac:dyDescent="0.35">
      <c r="D13" s="13">
        <v>40913</v>
      </c>
      <c r="E13" s="14" t="s">
        <v>23</v>
      </c>
      <c r="F13" s="15">
        <v>5</v>
      </c>
      <c r="G13" s="14" t="s">
        <v>14</v>
      </c>
    </row>
    <row r="14" spans="2:7" ht="25.5" customHeight="1" x14ac:dyDescent="0.35">
      <c r="D14" s="13">
        <v>40914</v>
      </c>
      <c r="E14" s="14" t="s">
        <v>24</v>
      </c>
      <c r="F14" s="15">
        <v>230</v>
      </c>
      <c r="G14" s="14" t="s">
        <v>15</v>
      </c>
    </row>
    <row r="15" spans="2:7" ht="25.5" customHeight="1" x14ac:dyDescent="0.35">
      <c r="D15" s="13">
        <v>40942</v>
      </c>
      <c r="E15" s="14" t="s">
        <v>25</v>
      </c>
      <c r="F15" s="15">
        <v>70</v>
      </c>
      <c r="G15" s="14" t="s">
        <v>14</v>
      </c>
    </row>
    <row r="16" spans="2:7" ht="25.5" customHeight="1" x14ac:dyDescent="0.35">
      <c r="D16" s="13">
        <v>40946</v>
      </c>
      <c r="E16" s="14" t="s">
        <v>26</v>
      </c>
      <c r="F16" s="15">
        <v>53</v>
      </c>
      <c r="G16" s="14" t="s">
        <v>14</v>
      </c>
    </row>
    <row r="17" spans="2:7" ht="25.5" customHeight="1" x14ac:dyDescent="0.35">
      <c r="D17" s="13">
        <v>40969</v>
      </c>
      <c r="E17" s="14" t="s">
        <v>27</v>
      </c>
      <c r="F17" s="15">
        <v>100</v>
      </c>
      <c r="G17" s="14" t="s">
        <v>15</v>
      </c>
    </row>
    <row r="18" spans="2:7" ht="25.5" customHeight="1" x14ac:dyDescent="0.35">
      <c r="D18" s="13">
        <v>40974</v>
      </c>
      <c r="E18" s="14" t="s">
        <v>24</v>
      </c>
      <c r="F18" s="15">
        <v>230</v>
      </c>
      <c r="G18" s="14" t="s">
        <v>14</v>
      </c>
    </row>
    <row r="19" spans="2:7" ht="25.5" customHeight="1" x14ac:dyDescent="0.35">
      <c r="D19" s="13">
        <v>41005</v>
      </c>
      <c r="E19" s="14" t="s">
        <v>25</v>
      </c>
      <c r="F19" s="15">
        <v>70</v>
      </c>
      <c r="G19" s="14" t="s">
        <v>15</v>
      </c>
    </row>
    <row r="20" spans="2:7" ht="25.5" customHeight="1" x14ac:dyDescent="0.35">
      <c r="B20" s="36" t="s">
        <v>28</v>
      </c>
      <c r="D20" s="13">
        <v>41019</v>
      </c>
      <c r="E20" s="14" t="s">
        <v>22</v>
      </c>
      <c r="F20" s="15">
        <v>30</v>
      </c>
      <c r="G20" s="14" t="s">
        <v>14</v>
      </c>
    </row>
    <row r="21" spans="2:7" ht="25.5" customHeight="1" x14ac:dyDescent="0.35">
      <c r="B21" s="36"/>
      <c r="D21" s="13">
        <v>41032</v>
      </c>
      <c r="E21" s="14" t="s">
        <v>22</v>
      </c>
      <c r="F21" s="15">
        <v>50</v>
      </c>
      <c r="G21" s="14" t="s">
        <v>15</v>
      </c>
    </row>
    <row r="22" spans="2:7" ht="25.5" customHeight="1" x14ac:dyDescent="0.35">
      <c r="B22" s="34">
        <f>CashSummaryTable[[#Totals],[剩余现金]]/CashSummaryTable[[#Totals],[起始现金]]</f>
        <v>0.75459459459459455</v>
      </c>
      <c r="D22" s="13">
        <v>41039</v>
      </c>
      <c r="E22" s="14" t="s">
        <v>22</v>
      </c>
      <c r="F22" s="15">
        <v>30</v>
      </c>
      <c r="G22" s="14" t="s">
        <v>16</v>
      </c>
    </row>
    <row r="23" spans="2:7" ht="25.5" customHeight="1" x14ac:dyDescent="0.35">
      <c r="B23" s="34"/>
    </row>
    <row r="24" spans="2:7" ht="25.5" customHeight="1" x14ac:dyDescent="0.35">
      <c r="B24" s="34"/>
    </row>
    <row r="25" spans="2:7" ht="25.5" customHeight="1" x14ac:dyDescent="0.35">
      <c r="B25" s="16"/>
    </row>
  </sheetData>
  <mergeCells count="3">
    <mergeCell ref="B22:B24"/>
    <mergeCell ref="D9:G9"/>
    <mergeCell ref="B20:B21"/>
  </mergeCells>
  <phoneticPr fontId="4" type="noConversion"/>
  <conditionalFormatting sqref="B22:B24">
    <cfRule type="expression" dxfId="70" priority="7" stopIfTrue="1">
      <formula>$B$22&gt;=0.5</formula>
    </cfRule>
    <cfRule type="expression" dxfId="69" priority="8" stopIfTrue="1">
      <formula>AND($B$22&gt;=0.25,$B$22&lt;0.5)</formula>
    </cfRule>
    <cfRule type="expression" dxfId="68" priority="9" stopIfTrue="1">
      <formula>$B$22&lt;0.25</formula>
    </cfRule>
  </conditionalFormatting>
  <dataValidations count="1">
    <dataValidation type="list" errorStyle="warning" allowBlank="1" showInputMessage="1" showErrorMessage="1" errorTitle="Whoops!" error="The account you entered isn't in your Cash Summary table. You can still use it if you click Yes but the amount you entered won't be included in the summary or the chart." sqref="G12:G22">
      <formula1>AccountList</formula1>
    </dataValidation>
  </dataValidations>
  <pageMargins left="0.7" right="0.7" top="0.75" bottom="0.75" header="0.3" footer="0.3"/>
  <pageSetup scale="98" fitToHeight="0" orientation="portrait" r:id="rId1"/>
  <headerFooter differentFirst="1">
    <oddFooter>Page &amp;P of &amp;N</oddFooter>
  </headerFooter>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autoPageBreaks="0" fitToPage="1"/>
  </sheetPr>
  <dimension ref="A1:F26"/>
  <sheetViews>
    <sheetView showGridLines="0" zoomScaleNormal="100" workbookViewId="0"/>
  </sheetViews>
  <sheetFormatPr defaultRowHeight="21.75" customHeight="1" x14ac:dyDescent="0.35"/>
  <cols>
    <col min="1" max="1" width="2.28515625" style="1" customWidth="1"/>
    <col min="2" max="2" width="23.7109375" style="1" customWidth="1"/>
    <col min="3" max="6" width="20.28515625" style="1" customWidth="1"/>
    <col min="7" max="16384" width="9.140625" style="1"/>
  </cols>
  <sheetData>
    <row r="1" spans="1:6" ht="38.25" customHeight="1" x14ac:dyDescent="0.5">
      <c r="A1" s="18"/>
      <c r="B1" s="17" t="s">
        <v>31</v>
      </c>
      <c r="C1" s="3"/>
      <c r="D1" s="3"/>
      <c r="E1" s="3"/>
      <c r="F1" s="19"/>
    </row>
    <row r="2" spans="1:6" s="18" customFormat="1" ht="54.75" customHeight="1" x14ac:dyDescent="0.4">
      <c r="B2" s="20" t="s">
        <v>32</v>
      </c>
      <c r="C2" s="21"/>
      <c r="D2" s="21"/>
      <c r="E2" s="21"/>
    </row>
    <row r="3" spans="1:6" ht="21.75" customHeight="1" x14ac:dyDescent="0.4">
      <c r="B3" s="21"/>
      <c r="C3" s="21"/>
      <c r="D3" s="21"/>
      <c r="E3" s="21"/>
    </row>
    <row r="5" spans="1:6" ht="21.75" customHeight="1" x14ac:dyDescent="0.4">
      <c r="B5" s="21"/>
      <c r="C5" s="21"/>
      <c r="D5" s="21"/>
      <c r="E5" s="21"/>
    </row>
    <row r="6" spans="1:6" ht="21.75" customHeight="1" x14ac:dyDescent="0.4">
      <c r="B6" s="21"/>
      <c r="C6" s="21"/>
      <c r="D6" s="21"/>
      <c r="E6" s="21"/>
    </row>
    <row r="16" spans="1:6" ht="41.25" customHeight="1" x14ac:dyDescent="0.35">
      <c r="B16" s="5" t="s">
        <v>30</v>
      </c>
    </row>
    <row r="17" spans="2:6" ht="20.25" x14ac:dyDescent="0.35">
      <c r="B17" s="22" t="s">
        <v>29</v>
      </c>
      <c r="C17" s="33"/>
      <c r="D17" s="33"/>
      <c r="E17" s="33"/>
      <c r="F17" s="33"/>
    </row>
    <row r="18" spans="2:6" ht="18" x14ac:dyDescent="0.35">
      <c r="B18" s="33"/>
      <c r="C18" s="23" t="s">
        <v>15</v>
      </c>
      <c r="D18" s="23" t="s">
        <v>16</v>
      </c>
      <c r="E18" s="23" t="s">
        <v>14</v>
      </c>
      <c r="F18" s="24" t="s">
        <v>0</v>
      </c>
    </row>
    <row r="19" spans="2:6" ht="16.5" x14ac:dyDescent="0.35">
      <c r="B19" s="25" t="s">
        <v>1</v>
      </c>
      <c r="C19" s="26">
        <v>230</v>
      </c>
      <c r="D19" s="26"/>
      <c r="E19" s="26">
        <v>45</v>
      </c>
      <c r="F19" s="26">
        <v>275</v>
      </c>
    </row>
    <row r="20" spans="2:6" ht="16.5" x14ac:dyDescent="0.35">
      <c r="B20" s="25" t="s">
        <v>2</v>
      </c>
      <c r="C20" s="26"/>
      <c r="D20" s="26"/>
      <c r="E20" s="26">
        <v>123</v>
      </c>
      <c r="F20" s="26">
        <v>123</v>
      </c>
    </row>
    <row r="21" spans="2:6" ht="16.5" x14ac:dyDescent="0.35">
      <c r="B21" s="25" t="s">
        <v>3</v>
      </c>
      <c r="C21" s="26"/>
      <c r="D21" s="26"/>
      <c r="E21" s="26"/>
      <c r="F21" s="26"/>
    </row>
    <row r="22" spans="2:6" ht="16.5" x14ac:dyDescent="0.35">
      <c r="B22" s="27" t="s">
        <v>24</v>
      </c>
      <c r="C22" s="26"/>
      <c r="D22" s="26"/>
      <c r="E22" s="26">
        <v>230</v>
      </c>
      <c r="F22" s="26">
        <v>230</v>
      </c>
    </row>
    <row r="23" spans="2:6" ht="16.5" x14ac:dyDescent="0.35">
      <c r="B23" s="27" t="s">
        <v>27</v>
      </c>
      <c r="C23" s="26">
        <v>100</v>
      </c>
      <c r="D23" s="26"/>
      <c r="E23" s="26"/>
      <c r="F23" s="26">
        <v>100</v>
      </c>
    </row>
    <row r="24" spans="2:6" ht="16.5" x14ac:dyDescent="0.35">
      <c r="B24" s="25" t="s">
        <v>4</v>
      </c>
      <c r="C24" s="26">
        <v>70</v>
      </c>
      <c r="D24" s="26"/>
      <c r="E24" s="26">
        <v>30</v>
      </c>
      <c r="F24" s="26">
        <v>100</v>
      </c>
    </row>
    <row r="25" spans="2:6" ht="16.5" x14ac:dyDescent="0.35">
      <c r="B25" s="25" t="s">
        <v>5</v>
      </c>
      <c r="C25" s="26">
        <v>50</v>
      </c>
      <c r="D25" s="26">
        <v>30</v>
      </c>
      <c r="E25" s="26"/>
      <c r="F25" s="26">
        <v>80</v>
      </c>
    </row>
    <row r="26" spans="2:6" ht="16.5" x14ac:dyDescent="0.35">
      <c r="B26" s="25" t="s">
        <v>0</v>
      </c>
      <c r="C26" s="26">
        <v>450</v>
      </c>
      <c r="D26" s="26">
        <v>30</v>
      </c>
      <c r="E26" s="26">
        <v>428</v>
      </c>
      <c r="F26" s="26">
        <v>908</v>
      </c>
    </row>
  </sheetData>
  <phoneticPr fontId="4" type="noConversion"/>
  <printOptions horizontalCentered="1"/>
  <pageMargins left="0.7" right="0.7" top="0.7" bottom="0.7" header="0.3" footer="0.3"/>
  <pageSetup scale="80"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B1:H10"/>
  <sheetViews>
    <sheetView showGridLines="0" workbookViewId="0"/>
  </sheetViews>
  <sheetFormatPr defaultRowHeight="21.75" customHeight="1" x14ac:dyDescent="0.35"/>
  <cols>
    <col min="1" max="1" width="2.28515625" style="1" customWidth="1"/>
    <col min="2" max="2" width="10.7109375" style="1" customWidth="1"/>
    <col min="3" max="3" width="9.5703125" style="1" customWidth="1"/>
    <col min="4" max="4" width="7.28515625" style="1" customWidth="1"/>
    <col min="5" max="5" width="9.7109375" style="1" customWidth="1"/>
    <col min="6" max="6" width="8.42578125" style="1" customWidth="1"/>
    <col min="7" max="7" width="11.85546875" style="1" customWidth="1"/>
    <col min="8" max="16384" width="9.140625" style="1"/>
  </cols>
  <sheetData>
    <row r="1" spans="2:8" ht="38.25" customHeight="1" x14ac:dyDescent="0.5">
      <c r="B1" s="2" t="s">
        <v>33</v>
      </c>
      <c r="C1" s="19"/>
      <c r="D1" s="19"/>
      <c r="E1" s="19"/>
      <c r="F1" s="19"/>
      <c r="G1" s="19"/>
      <c r="H1" s="19"/>
    </row>
    <row r="2" spans="2:8" ht="21.75" customHeight="1" x14ac:dyDescent="0.35">
      <c r="B2" s="28" t="s">
        <v>34</v>
      </c>
    </row>
    <row r="3" spans="2:8" ht="21.75" customHeight="1" x14ac:dyDescent="0.35">
      <c r="B3" s="29" t="s">
        <v>29</v>
      </c>
      <c r="C3" s="30" t="s">
        <v>6</v>
      </c>
      <c r="E3"/>
      <c r="F3"/>
    </row>
    <row r="4" spans="2:8" ht="21.75" customHeight="1" x14ac:dyDescent="0.35">
      <c r="B4" s="30" t="s">
        <v>7</v>
      </c>
      <c r="C4" s="1" t="s">
        <v>16</v>
      </c>
      <c r="D4" s="31" t="s">
        <v>0</v>
      </c>
      <c r="E4"/>
      <c r="F4"/>
    </row>
    <row r="5" spans="2:8" ht="21.75" customHeight="1" x14ac:dyDescent="0.35">
      <c r="B5" s="25" t="s">
        <v>5</v>
      </c>
      <c r="C5" s="32">
        <v>30</v>
      </c>
      <c r="D5" s="32">
        <v>30</v>
      </c>
      <c r="E5"/>
      <c r="F5"/>
    </row>
    <row r="6" spans="2:8" ht="21.75" customHeight="1" x14ac:dyDescent="0.35">
      <c r="B6" s="25" t="s">
        <v>0</v>
      </c>
      <c r="C6" s="32">
        <v>30</v>
      </c>
      <c r="D6" s="32">
        <v>30</v>
      </c>
      <c r="E6"/>
      <c r="F6"/>
    </row>
    <row r="7" spans="2:8" ht="21.75" customHeight="1" x14ac:dyDescent="0.35">
      <c r="B7"/>
      <c r="C7"/>
      <c r="D7"/>
      <c r="E7"/>
      <c r="F7"/>
    </row>
    <row r="8" spans="2:8" ht="21.75" customHeight="1" x14ac:dyDescent="0.35">
      <c r="B8"/>
      <c r="C8"/>
      <c r="D8"/>
      <c r="E8"/>
      <c r="F8"/>
    </row>
    <row r="9" spans="2:8" ht="21.75" customHeight="1" x14ac:dyDescent="0.35">
      <c r="B9"/>
      <c r="C9"/>
      <c r="D9"/>
      <c r="E9"/>
      <c r="F9"/>
    </row>
    <row r="10" spans="2:8" ht="21.75" customHeight="1" x14ac:dyDescent="0.35">
      <c r="B10"/>
      <c r="C10"/>
      <c r="D10"/>
      <c r="E10"/>
      <c r="F10"/>
    </row>
  </sheetData>
  <phoneticPr fontId="4" type="noConversion"/>
  <pageMargins left="0.7" right="0.7" top="0.75" bottom="0.75" header="0.3" footer="0.3"/>
  <pageSetup orientation="portrait" verticalDpi="20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E62A1E02-192E-4108-AC42-DDB7C30B7B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3</vt:i4>
      </vt:variant>
    </vt:vector>
  </HeadingPairs>
  <TitlesOfParts>
    <vt:vector size="6" baseType="lpstr">
      <vt:lpstr>个人资金跟踪器</vt:lpstr>
      <vt:lpstr>每月摘要</vt:lpstr>
      <vt:lpstr>图表数据</vt:lpstr>
      <vt:lpstr>AccountList</vt:lpstr>
      <vt:lpstr>PercentageAvailable</vt:lpstr>
      <vt:lpstr>每月摘要!Print_Titles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 in one money tracker</dc:title>
  <dc:creator>king</dc:creator>
  <cp:keywords/>
  <cp:lastModifiedBy>king</cp:lastModifiedBy>
  <cp:lastPrinted>2012-04-24T15:06:09Z</cp:lastPrinted>
  <dcterms:created xsi:type="dcterms:W3CDTF">2017-09-28T13:46:04Z</dcterms:created>
  <dcterms:modified xsi:type="dcterms:W3CDTF">2017-09-28T13:46:06Z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TC027802449991</vt:lpwstr>
  </property>
</Properties>
</file>