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01"/>
  <workbookPr/>
  <mc:AlternateContent xmlns:mc="http://schemas.openxmlformats.org/markup-compatibility/2006">
    <mc:Choice Requires="x15">
      <x15ac:absPath xmlns:x15ac="http://schemas.microsoft.com/office/spreadsheetml/2010/11/ac" url="C:\Users\king\Desktop\Excel模版合集\"/>
    </mc:Choice>
  </mc:AlternateContent>
  <bookViews>
    <workbookView xWindow="120" yWindow="135" windowWidth="18960" windowHeight="11760"/>
  </bookViews>
  <sheets>
    <sheet name="K-12 费用计算器" sheetId="1" r:id="rId1"/>
  </sheets>
  <definedNames>
    <definedName name="_xlnm.Print_Area" localSheetId="0">'K-12 费用计算器'!$A$1:$I$60</definedName>
  </definedNames>
  <calcPr calcId="171027"/>
</workbook>
</file>

<file path=xl/calcChain.xml><?xml version="1.0" encoding="utf-8"?>
<calcChain xmlns="http://schemas.openxmlformats.org/spreadsheetml/2006/main">
  <c r="C20" i="1" l="1"/>
  <c r="C19" i="1"/>
  <c r="C18" i="1"/>
  <c r="C17" i="1"/>
  <c r="C16" i="1"/>
  <c r="C15" i="1"/>
  <c r="D28" i="1"/>
  <c r="D37" i="1"/>
  <c r="G37" i="1"/>
  <c r="G26" i="1"/>
  <c r="G16" i="1"/>
  <c r="G9" i="1"/>
  <c r="D18" i="1" l="1"/>
</calcChain>
</file>

<file path=xl/sharedStrings.xml><?xml version="1.0" encoding="utf-8"?>
<sst xmlns="http://schemas.openxmlformats.org/spreadsheetml/2006/main" count="72" uniqueCount="49">
  <si>
    <t>K-12 费用计算器</t>
  </si>
  <si>
    <t>常规信息</t>
  </si>
  <si>
    <t>住宿和饮食</t>
  </si>
  <si>
    <t>学生姓名</t>
  </si>
  <si>
    <t>项目</t>
  </si>
  <si>
    <t xml:space="preserve">金额 </t>
  </si>
  <si>
    <t>监护人</t>
  </si>
  <si>
    <t>房间（寄宿制学校）</t>
  </si>
  <si>
    <t>开始日期/年</t>
  </si>
  <si>
    <t>日托</t>
  </si>
  <si>
    <t>结束日期/年</t>
  </si>
  <si>
    <t>午餐费</t>
  </si>
  <si>
    <t>学校名称</t>
  </si>
  <si>
    <t>总计</t>
  </si>
  <si>
    <t>城市</t>
  </si>
  <si>
    <t>大学名称</t>
  </si>
  <si>
    <t>交通费</t>
  </si>
  <si>
    <t>私人交通</t>
  </si>
  <si>
    <t>费用一览</t>
  </si>
  <si>
    <t>停车费</t>
  </si>
  <si>
    <t>学校费用</t>
  </si>
  <si>
    <t>当地旅游</t>
  </si>
  <si>
    <t>大学费用</t>
  </si>
  <si>
    <t>交通</t>
  </si>
  <si>
    <t>活动</t>
  </si>
  <si>
    <t>常规</t>
  </si>
  <si>
    <t>考察旅行</t>
  </si>
  <si>
    <t>音乐器材和课程</t>
  </si>
  <si>
    <t>个人和班级肖像</t>
  </si>
  <si>
    <t>截止日期</t>
  </si>
  <si>
    <t>毕业旅行</t>
  </si>
  <si>
    <t>学费（私人）</t>
  </si>
  <si>
    <t>年鉴</t>
  </si>
  <si>
    <t>PTA 费</t>
  </si>
  <si>
    <t>杂项</t>
  </si>
  <si>
    <t>运动服费用</t>
  </si>
  <si>
    <t>实验室费用</t>
  </si>
  <si>
    <t>衣服</t>
  </si>
  <si>
    <t>书籍</t>
  </si>
  <si>
    <t>毕业戒指</t>
  </si>
  <si>
    <t>背包和饭盒</t>
  </si>
  <si>
    <t>入学考试</t>
  </si>
  <si>
    <t>学校用品</t>
  </si>
  <si>
    <t>入会费</t>
  </si>
  <si>
    <t>美术用品</t>
  </si>
  <si>
    <t>方帽长袍</t>
  </si>
  <si>
    <t>课后俱乐部</t>
  </si>
  <si>
    <t>通知、名片</t>
  </si>
  <si>
    <t>舞会费用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</si>
</sst>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[$-409]d\-mmm\-yy;@"/>
    <numFmt numFmtId="177" formatCode="#,##0.00;[Red]#,##0.00"/>
    <numFmt numFmtId="178" formatCode="&quot;$&quot;#,##0.00;[Red]&quot;$&quot;#,##0.00"/>
    <numFmt numFmtId="179" formatCode="&quot;¥&quot;#,##0.00;[Red]&quot;¥&quot;#,##0.00"/>
  </numFmts>
  <fonts count="12">
    <font>
      <sz val="11"/>
      <color theme="1"/>
      <name val="Calibri"/>
      <family val="2"/>
      <scheme val="minor"/>
    </font>
    <font>
      <sz val="10"/>
      <color theme="1"/>
      <name val="Microsoft YaHei"/>
      <family val="2"/>
    </font>
    <font>
      <sz val="16"/>
      <color theme="1"/>
      <name val="Microsoft YaHei"/>
      <family val="2"/>
    </font>
    <font>
      <b/>
      <sz val="10"/>
      <color theme="8" tint="-0.499984740745262"/>
      <name val="Microsoft YaHei"/>
      <family val="2"/>
    </font>
    <font>
      <b/>
      <sz val="10"/>
      <color theme="4" tint="-0.499984740745262"/>
      <name val="Microsoft YaHei"/>
      <family val="2"/>
    </font>
    <font>
      <sz val="10"/>
      <color theme="8" tint="-0.499984740745262"/>
      <name val="Microsoft YaHei"/>
      <family val="2"/>
    </font>
    <font>
      <sz val="10"/>
      <color theme="4" tint="-0.499984740745262"/>
      <name val="Microsoft YaHei"/>
      <family val="2"/>
    </font>
    <font>
      <sz val="10"/>
      <color theme="3" tint="-0.249977111117893"/>
      <name val="Microsoft YaHei"/>
      <family val="2"/>
    </font>
    <font>
      <b/>
      <sz val="11"/>
      <color theme="8" tint="-0.499984740745262"/>
      <name val="Microsoft YaHei"/>
      <family val="2"/>
    </font>
    <font>
      <b/>
      <sz val="10"/>
      <color theme="6" tint="-0.499984740745262"/>
      <name val="Microsoft YaHei"/>
      <family val="2"/>
    </font>
    <font>
      <sz val="10"/>
      <color theme="6" tint="-0.499984740745262"/>
      <name val="Microsoft YaHei"/>
      <family val="2"/>
    </font>
    <font>
      <sz val="9"/>
      <name val="Calibri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 applyAlignment="1">
      <alignment vertical="center"/>
    </xf>
    <xf numFmtId="0" fontId="5" fillId="7" borderId="2" xfId="0" applyFont="1" applyFill="1" applyBorder="1" applyAlignment="1">
      <alignment horizontal="left" vertical="center"/>
    </xf>
    <xf numFmtId="4" fontId="6" fillId="0" borderId="0" xfId="0" applyNumberFormat="1" applyFont="1" applyAlignment="1">
      <alignment vertical="center"/>
    </xf>
    <xf numFmtId="179" fontId="7" fillId="4" borderId="0" xfId="0" applyNumberFormat="1" applyFont="1" applyFill="1" applyAlignment="1">
      <alignment vertical="center"/>
    </xf>
    <xf numFmtId="179" fontId="5" fillId="7" borderId="2" xfId="0" applyNumberFormat="1" applyFont="1" applyFill="1" applyBorder="1" applyAlignment="1">
      <alignment vertical="center"/>
    </xf>
    <xf numFmtId="178" fontId="5" fillId="7" borderId="3" xfId="0" applyNumberFormat="1" applyFont="1" applyFill="1" applyBorder="1" applyAlignment="1">
      <alignment vertical="center" wrapText="1"/>
    </xf>
    <xf numFmtId="0" fontId="5" fillId="7" borderId="4" xfId="0" applyFont="1" applyFill="1" applyBorder="1" applyAlignment="1">
      <alignment vertical="center" wrapText="1"/>
    </xf>
    <xf numFmtId="0" fontId="3" fillId="7" borderId="4" xfId="0" applyFont="1" applyFill="1" applyBorder="1" applyAlignment="1">
      <alignment horizontal="center" vertical="center" wrapText="1"/>
    </xf>
    <xf numFmtId="179" fontId="8" fillId="7" borderId="4" xfId="0" applyNumberFormat="1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vertical="center" wrapText="1"/>
    </xf>
    <xf numFmtId="178" fontId="1" fillId="0" borderId="0" xfId="0" applyNumberFormat="1" applyFont="1" applyAlignment="1">
      <alignment vertical="center"/>
    </xf>
    <xf numFmtId="176" fontId="10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vertical="center"/>
    </xf>
    <xf numFmtId="0" fontId="10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179" fontId="10" fillId="2" borderId="0" xfId="0" applyNumberFormat="1" applyFont="1" applyFill="1" applyAlignment="1">
      <alignment vertic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178" fontId="10" fillId="0" borderId="0" xfId="0" applyNumberFormat="1" applyFont="1" applyFill="1" applyAlignment="1">
      <alignment vertical="center"/>
    </xf>
    <xf numFmtId="177" fontId="10" fillId="0" borderId="0" xfId="0" applyNumberFormat="1" applyFont="1" applyAlignment="1">
      <alignment vertical="center"/>
    </xf>
    <xf numFmtId="0" fontId="10" fillId="2" borderId="0" xfId="0" applyFont="1" applyFill="1" applyAlignment="1">
      <alignment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6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9" fillId="5" borderId="2" xfId="0" applyFont="1" applyFill="1" applyBorder="1" applyAlignment="1">
      <alignment vertical="center"/>
    </xf>
    <xf numFmtId="0" fontId="1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7" borderId="2" xfId="0" applyFont="1" applyFill="1" applyBorder="1" applyAlignment="1">
      <alignment horizontal="left" vertical="center"/>
    </xf>
    <xf numFmtId="0" fontId="3" fillId="6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76" fontId="5" fillId="7" borderId="2" xfId="0" applyNumberFormat="1" applyFont="1" applyFill="1" applyBorder="1" applyAlignment="1">
      <alignment horizontal="left" vertical="center"/>
    </xf>
  </cellXfs>
  <cellStyles count="1">
    <cellStyle name="常规" xfId="0" builtinId="0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Microsoft YaHei"/>
        <scheme val="none"/>
      </font>
      <numFmt numFmtId="179" formatCode="&quot;¥&quot;#,##0.00;[Red]&quot;¥&quot;#,##0.00"/>
      <fill>
        <patternFill patternType="solid">
          <fgColor indexed="64"/>
          <bgColor theme="6" tint="0.399975585192419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Microsoft YaHei"/>
        <scheme val="none"/>
      </font>
      <numFmt numFmtId="177" formatCode="#,##0.00;[Red]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Microsoft YaHei"/>
        <scheme val="none"/>
      </font>
      <fill>
        <patternFill patternType="solid">
          <fgColor indexed="64"/>
          <bgColor theme="6" tint="0.399975585192419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Microsoft YaHei"/>
        <scheme val="none"/>
      </font>
      <numFmt numFmtId="176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Microsoft YaHei"/>
        <scheme val="none"/>
      </font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Microsoft YaHei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6" tint="-0.499984740745262"/>
        <name val="Microsoft YaHei"/>
        <scheme val="none"/>
      </font>
      <fill>
        <patternFill patternType="solid">
          <fgColor indexed="64"/>
          <bgColor theme="6" tint="0.3999755851924192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Microsoft YaHe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Microsoft YaHei"/>
        <scheme val="none"/>
      </font>
      <numFmt numFmtId="179" formatCode="&quot;¥&quot;#,##0.00;[Red]&quot;¥&quot;#,##0.00"/>
      <fill>
        <patternFill patternType="solid">
          <fgColor indexed="64"/>
          <bgColor theme="6" tint="0.399975585192419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6" tint="-0.499984740745262"/>
        <name val="Microsoft YaHei"/>
        <scheme val="none"/>
      </font>
      <numFmt numFmtId="2" formatCode="0.00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Microsoft YaHei"/>
        <scheme val="none"/>
      </font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6" tint="-0.499984740745262"/>
        <name val="Microsoft YaHei"/>
        <scheme val="none"/>
      </font>
      <numFmt numFmtId="176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Microsoft YaHei"/>
        <scheme val="none"/>
      </font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6" tint="-0.499984740745262"/>
        <name val="Microsoft YaHei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6" tint="-0.499984740745262"/>
        <name val="Microsoft YaHei"/>
        <scheme val="none"/>
      </font>
      <fill>
        <patternFill patternType="solid">
          <fgColor indexed="64"/>
          <bgColor theme="6" tint="0.39997558519241921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6" tint="-0.499984740745262"/>
        <name val="Microsoft YaHei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249977111117893"/>
        <name val="Microsoft YaHei"/>
        <scheme val="none"/>
      </font>
      <numFmt numFmtId="179" formatCode="&quot;¥&quot;#,##0.00;[Red]&quot;¥&quot;#,##0.00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Microsoft YaHe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249977111117893"/>
        <name val="Microsoft YaHei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Microsoft YaHei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3" tint="-0.249977111117893"/>
        <name val="Microsoft YaHei"/>
        <scheme val="none"/>
      </font>
      <fill>
        <patternFill patternType="solid">
          <fgColor indexed="64"/>
          <bgColor theme="4" tint="0.3999755851924192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Microsoft YaHe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249977111117893"/>
        <name val="Microsoft YaHei"/>
        <scheme val="none"/>
      </font>
      <numFmt numFmtId="179" formatCode="&quot;¥&quot;#,##0.00;[Red]&quot;¥&quot;#,##0.00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Microsoft YaHei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249977111117893"/>
        <name val="Microsoft YaHei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Microsoft YaHei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3" tint="-0.249977111117893"/>
        <name val="Microsoft YaHei"/>
        <scheme val="none"/>
      </font>
      <fill>
        <patternFill patternType="solid">
          <fgColor indexed="64"/>
          <bgColor theme="4" tint="0.3999755851924192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Microsoft YaHe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249977111117893"/>
        <name val="Microsoft YaHei"/>
        <scheme val="none"/>
      </font>
      <numFmt numFmtId="179" formatCode="&quot;¥&quot;#,##0.00;[Red]&quot;¥&quot;#,##0.00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Microsoft YaHei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249977111117893"/>
        <name val="Microsoft YaHei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Microsoft YaHei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3" tint="-0.249977111117893"/>
        <name val="Microsoft YaHei"/>
        <scheme val="none"/>
      </font>
      <fill>
        <patternFill patternType="solid">
          <fgColor indexed="64"/>
          <bgColor theme="4" tint="0.3999755851924192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Microsoft YaHe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249977111117893"/>
        <name val="Microsoft YaHei"/>
        <scheme val="none"/>
      </font>
      <numFmt numFmtId="179" formatCode="&quot;¥&quot;#,##0.00;[Red]&quot;¥&quot;#,##0.00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4" tint="-0.499984740745262"/>
        <name val="Microsoft YaHei"/>
        <scheme val="none"/>
      </font>
      <numFmt numFmtId="4" formatCode="#,##0.00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249977111117893"/>
        <name val="Microsoft YaHei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4" tint="-0.499984740745262"/>
        <name val="Microsoft YaHei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3" tint="-0.249977111117893"/>
        <name val="Microsoft YaHei"/>
        <scheme val="none"/>
      </font>
      <fill>
        <patternFill patternType="solid">
          <fgColor indexed="64"/>
          <bgColor theme="4" tint="0.3999755851924192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Microsoft YaHei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4" name="Food" displayName="Food" ref="F6:G9" headerRowCount="0" totalsRowCount="1" headerRowDxfId="59" dataDxfId="58" totalsRowDxfId="57">
  <tableColumns count="2">
    <tableColumn id="1" name="Head" totalsRowLabel="总计" headerRowDxfId="56" dataDxfId="55" totalsRowDxfId="54"/>
    <tableColumn id="2" name="Amount $" totalsRowFunction="sum" headerRowDxfId="53" dataDxfId="52" totalsRowDxfId="51"/>
  </tableColumns>
  <tableStyleInfo name="TableStyleMedium9" showFirstColumn="0" showLastColumn="0" showRowStripes="0" showColumnStripes="0"/>
</table>
</file>

<file path=xl/tables/table2.xml><?xml version="1.0" encoding="utf-8"?>
<table xmlns="http://schemas.openxmlformats.org/spreadsheetml/2006/main" id="6" name="Transport" displayName="Transport" ref="F13:G16" headerRowCount="0" totalsRowCount="1" headerRowDxfId="50" dataDxfId="49" totalsRowDxfId="48">
  <tableColumns count="2">
    <tableColumn id="1" name="Head" totalsRowLabel="总计" headerRowDxfId="47" dataDxfId="46" totalsRowDxfId="45"/>
    <tableColumn id="2" name="Amount $" totalsRowFunction="sum" headerRowDxfId="44" dataDxfId="43" totalsRowDxfId="42"/>
  </tableColumns>
  <tableStyleInfo name="TableStyleMedium9" showFirstColumn="0" showLastColumn="0" showRowStripes="0" showColumnStripes="0"/>
</table>
</file>

<file path=xl/tables/table3.xml><?xml version="1.0" encoding="utf-8"?>
<table xmlns="http://schemas.openxmlformats.org/spreadsheetml/2006/main" id="7" name="Activity" displayName="Activity" ref="F20:G26" headerRowCount="0" totalsRowCount="1" headerRowDxfId="41" dataDxfId="40" totalsRowDxfId="39">
  <tableColumns count="2">
    <tableColumn id="1" name="Head" totalsRowLabel="总计" headerRowDxfId="38" dataDxfId="37" totalsRowDxfId="36"/>
    <tableColumn id="2" name="Amount $" totalsRowFunction="sum" headerRowDxfId="35" dataDxfId="34" totalsRowDxfId="33"/>
  </tableColumns>
  <tableStyleInfo name="TableStyleMedium9" showFirstColumn="0" showLastColumn="0" showRowStripes="0" showColumnStripes="0"/>
</table>
</file>

<file path=xl/tables/table4.xml><?xml version="1.0" encoding="utf-8"?>
<table xmlns="http://schemas.openxmlformats.org/spreadsheetml/2006/main" id="8" name="General" displayName="General" ref="F30:G37" headerRowCount="0" totalsRowCount="1" headerRowDxfId="32" dataDxfId="31" totalsRowDxfId="30">
  <tableColumns count="2">
    <tableColumn id="1" name="Head" totalsRowLabel="总计" headerRowDxfId="29" dataDxfId="28" totalsRowDxfId="27"/>
    <tableColumn id="2" name="Amount $" totalsRowFunction="sum" headerRowDxfId="26" dataDxfId="25" totalsRowDxfId="24"/>
  </tableColumns>
  <tableStyleInfo name="TableStyleMedium9" showFirstColumn="0" showLastColumn="0" showRowStripes="0" showColumnStripes="0"/>
</table>
</file>

<file path=xl/tables/table5.xml><?xml version="1.0" encoding="utf-8"?>
<table xmlns="http://schemas.openxmlformats.org/spreadsheetml/2006/main" id="9" name="SchoolExpense" displayName="SchoolExpense" ref="B24:D28" headerRowCount="0" totalsRowCount="1" headerRowDxfId="23" dataDxfId="22" totalsRowDxfId="21">
  <tableColumns count="3">
    <tableColumn id="1" name="Head" totalsRowLabel="总计" headerRowDxfId="20" dataDxfId="19" totalsRowDxfId="18"/>
    <tableColumn id="2" name="Due by" headerRowDxfId="17" dataDxfId="16" totalsRowDxfId="15"/>
    <tableColumn id="3" name="Amount" totalsRowFunction="sum" headerRowDxfId="14" dataDxfId="13" totalsRowDxfId="12"/>
  </tableColumns>
  <tableStyleInfo name="TableStyleMedium11" showFirstColumn="0" showLastColumn="0" showRowStripes="0" showColumnStripes="0"/>
</table>
</file>

<file path=xl/tables/table6.xml><?xml version="1.0" encoding="utf-8"?>
<table xmlns="http://schemas.openxmlformats.org/spreadsheetml/2006/main" id="10" name="CollegeExpense" displayName="CollegeExpense" ref="B32:D37" headerRowCount="0" totalsRowCount="1" headerRowDxfId="11" dataDxfId="10" totalsRowDxfId="9">
  <tableColumns count="3">
    <tableColumn id="1" name="Head" totalsRowLabel="总计" headerRowDxfId="8" dataDxfId="7" totalsRowDxfId="6"/>
    <tableColumn id="2" name="Due by" headerRowDxfId="5" dataDxfId="4" totalsRowDxfId="3"/>
    <tableColumn id="3" name="Amount" totalsRowFunction="sum" headerRowDxfId="2" dataDxfId="1" totalsRowDxfId="0"/>
  </tableColumns>
  <tableStyleInfo name="TableStyleMedium1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12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G37"/>
  <sheetViews>
    <sheetView showGridLines="0" tabSelected="1" zoomScaleNormal="100" zoomScalePageLayoutView="50" workbookViewId="0">
      <selection activeCell="C5" sqref="C5:D5"/>
    </sheetView>
  </sheetViews>
  <sheetFormatPr defaultRowHeight="16.5"/>
  <cols>
    <col min="1" max="1" width="2.5703125" style="1" customWidth="1"/>
    <col min="2" max="2" width="24.5703125" style="1" customWidth="1"/>
    <col min="3" max="4" width="14" style="1" customWidth="1"/>
    <col min="5" max="5" width="3.42578125" style="1" customWidth="1"/>
    <col min="6" max="6" width="24.5703125" style="1" customWidth="1"/>
    <col min="7" max="7" width="13.7109375" style="1" customWidth="1"/>
    <col min="8" max="8" width="10.5703125" style="1" customWidth="1"/>
    <col min="9" max="16384" width="9.140625" style="1"/>
  </cols>
  <sheetData>
    <row r="1" spans="2:7">
      <c r="B1" s="29"/>
      <c r="C1" s="29"/>
      <c r="D1" s="29"/>
      <c r="E1" s="29"/>
      <c r="F1" s="29"/>
      <c r="G1" s="29"/>
    </row>
    <row r="2" spans="2:7" ht="24" customHeight="1">
      <c r="B2" s="30" t="s">
        <v>0</v>
      </c>
      <c r="C2" s="30"/>
      <c r="D2" s="30"/>
      <c r="E2" s="30"/>
      <c r="F2" s="30"/>
      <c r="G2" s="30"/>
    </row>
    <row r="4" spans="2:7" ht="12.75" customHeight="1">
      <c r="B4" s="32" t="s">
        <v>1</v>
      </c>
      <c r="C4" s="32"/>
      <c r="D4" s="32"/>
      <c r="F4" s="33" t="s">
        <v>2</v>
      </c>
      <c r="G4" s="33"/>
    </row>
    <row r="5" spans="2:7" ht="12.75" customHeight="1">
      <c r="B5" s="2" t="s">
        <v>3</v>
      </c>
      <c r="C5" s="31"/>
      <c r="D5" s="31"/>
      <c r="F5" s="22" t="s">
        <v>4</v>
      </c>
      <c r="G5" s="23" t="s">
        <v>5</v>
      </c>
    </row>
    <row r="6" spans="2:7" ht="12.75" customHeight="1">
      <c r="B6" s="2" t="s">
        <v>6</v>
      </c>
      <c r="C6" s="36"/>
      <c r="D6" s="36"/>
      <c r="F6" s="24" t="s">
        <v>7</v>
      </c>
      <c r="G6" s="3"/>
    </row>
    <row r="7" spans="2:7" ht="12.75" customHeight="1">
      <c r="B7" s="2" t="s">
        <v>8</v>
      </c>
      <c r="C7" s="36"/>
      <c r="D7" s="36"/>
      <c r="F7" s="24" t="s">
        <v>9</v>
      </c>
      <c r="G7" s="3"/>
    </row>
    <row r="8" spans="2:7" ht="12.75" customHeight="1">
      <c r="B8" s="2" t="s">
        <v>10</v>
      </c>
      <c r="C8" s="36"/>
      <c r="D8" s="36"/>
      <c r="F8" s="24" t="s">
        <v>11</v>
      </c>
      <c r="G8" s="3"/>
    </row>
    <row r="9" spans="2:7" ht="12.75" customHeight="1">
      <c r="B9" s="2" t="s">
        <v>12</v>
      </c>
      <c r="C9" s="36"/>
      <c r="D9" s="36"/>
      <c r="F9" s="25" t="s">
        <v>13</v>
      </c>
      <c r="G9" s="4">
        <f>SUBTOTAL(109,Food[Amount $])</f>
        <v>0</v>
      </c>
    </row>
    <row r="10" spans="2:7" ht="12.75" customHeight="1">
      <c r="B10" s="2" t="s">
        <v>14</v>
      </c>
      <c r="C10" s="31"/>
      <c r="D10" s="31"/>
    </row>
    <row r="11" spans="2:7" ht="12.75" customHeight="1">
      <c r="B11" s="2" t="s">
        <v>15</v>
      </c>
      <c r="C11" s="31"/>
      <c r="D11" s="31"/>
      <c r="F11" s="33" t="s">
        <v>16</v>
      </c>
      <c r="G11" s="33"/>
    </row>
    <row r="12" spans="2:7" ht="12.75" customHeight="1">
      <c r="B12" s="2" t="s">
        <v>14</v>
      </c>
      <c r="C12" s="31"/>
      <c r="D12" s="31"/>
      <c r="F12" s="22" t="s">
        <v>4</v>
      </c>
      <c r="G12" s="23" t="s">
        <v>5</v>
      </c>
    </row>
    <row r="13" spans="2:7" ht="12.75" customHeight="1">
      <c r="F13" s="24" t="s">
        <v>17</v>
      </c>
      <c r="G13" s="3"/>
    </row>
    <row r="14" spans="2:7" ht="12.75" customHeight="1">
      <c r="B14" s="32" t="s">
        <v>18</v>
      </c>
      <c r="C14" s="32"/>
      <c r="D14" s="32"/>
      <c r="F14" s="24" t="s">
        <v>19</v>
      </c>
      <c r="G14" s="3"/>
    </row>
    <row r="15" spans="2:7" ht="12.75" customHeight="1">
      <c r="B15" s="2" t="s">
        <v>20</v>
      </c>
      <c r="C15" s="5">
        <f>SUM(SchoolExpense[Amount])</f>
        <v>0</v>
      </c>
      <c r="D15" s="6"/>
      <c r="F15" s="24" t="s">
        <v>21</v>
      </c>
      <c r="G15" s="3"/>
    </row>
    <row r="16" spans="2:7" ht="12.75" customHeight="1">
      <c r="B16" s="2" t="s">
        <v>22</v>
      </c>
      <c r="C16" s="5">
        <f>SUM(CollegeExpense[Amount])</f>
        <v>0</v>
      </c>
      <c r="D16" s="7"/>
      <c r="F16" s="25" t="s">
        <v>13</v>
      </c>
      <c r="G16" s="4">
        <f>SUBTOTAL(109,Transport[Amount $])</f>
        <v>0</v>
      </c>
    </row>
    <row r="17" spans="2:7" ht="12.75" customHeight="1">
      <c r="B17" s="2" t="s">
        <v>2</v>
      </c>
      <c r="C17" s="5">
        <f>SUM(Food[Amount $])</f>
        <v>0</v>
      </c>
      <c r="D17" s="8" t="s">
        <v>13</v>
      </c>
    </row>
    <row r="18" spans="2:7" ht="12.75" customHeight="1">
      <c r="B18" s="2" t="s">
        <v>23</v>
      </c>
      <c r="C18" s="5">
        <f>SUM(Transport[Amount $])</f>
        <v>0</v>
      </c>
      <c r="D18" s="9">
        <f>SUM(C15:C20)</f>
        <v>0</v>
      </c>
      <c r="F18" s="33" t="s">
        <v>24</v>
      </c>
      <c r="G18" s="33"/>
    </row>
    <row r="19" spans="2:7" ht="12.75" customHeight="1">
      <c r="B19" s="2" t="s">
        <v>24</v>
      </c>
      <c r="C19" s="5">
        <f>SUM(Activity[Amount $])</f>
        <v>0</v>
      </c>
      <c r="D19" s="7"/>
      <c r="F19" s="22" t="s">
        <v>4</v>
      </c>
      <c r="G19" s="23" t="s">
        <v>5</v>
      </c>
    </row>
    <row r="20" spans="2:7" ht="12.75" customHeight="1">
      <c r="B20" s="2" t="s">
        <v>25</v>
      </c>
      <c r="C20" s="5">
        <f>SUM(General[Amount $])</f>
        <v>0</v>
      </c>
      <c r="D20" s="10"/>
      <c r="F20" s="24" t="s">
        <v>26</v>
      </c>
      <c r="G20" s="3"/>
    </row>
    <row r="21" spans="2:7" ht="12.75" customHeight="1">
      <c r="C21" s="11"/>
      <c r="F21" s="24" t="s">
        <v>27</v>
      </c>
      <c r="G21" s="3"/>
    </row>
    <row r="22" spans="2:7" ht="12.75" customHeight="1">
      <c r="B22" s="34" t="s">
        <v>20</v>
      </c>
      <c r="C22" s="34"/>
      <c r="D22" s="34"/>
      <c r="F22" s="24" t="s">
        <v>28</v>
      </c>
      <c r="G22" s="3"/>
    </row>
    <row r="23" spans="2:7" ht="12.75" customHeight="1">
      <c r="B23" s="26" t="s">
        <v>4</v>
      </c>
      <c r="C23" s="27" t="s">
        <v>29</v>
      </c>
      <c r="D23" s="27" t="s">
        <v>5</v>
      </c>
      <c r="F23" s="24" t="s">
        <v>30</v>
      </c>
      <c r="G23" s="3"/>
    </row>
    <row r="24" spans="2:7" ht="12.75" customHeight="1">
      <c r="B24" s="28" t="s">
        <v>31</v>
      </c>
      <c r="C24" s="12"/>
      <c r="D24" s="13"/>
      <c r="F24" s="24" t="s">
        <v>32</v>
      </c>
      <c r="G24" s="3"/>
    </row>
    <row r="25" spans="2:7" ht="12.75" customHeight="1">
      <c r="B25" s="28" t="s">
        <v>33</v>
      </c>
      <c r="C25" s="12"/>
      <c r="D25" s="13"/>
      <c r="F25" s="24" t="s">
        <v>34</v>
      </c>
      <c r="G25" s="3"/>
    </row>
    <row r="26" spans="2:7" ht="12.75" customHeight="1">
      <c r="B26" s="28" t="s">
        <v>35</v>
      </c>
      <c r="C26" s="12"/>
      <c r="D26" s="13"/>
      <c r="F26" s="25" t="s">
        <v>13</v>
      </c>
      <c r="G26" s="4">
        <f>SUBTOTAL(109,Activity[Amount $])</f>
        <v>0</v>
      </c>
    </row>
    <row r="27" spans="2:7" ht="12.75" customHeight="1">
      <c r="B27" s="28" t="s">
        <v>36</v>
      </c>
      <c r="C27" s="12"/>
      <c r="D27" s="13"/>
    </row>
    <row r="28" spans="2:7" ht="12.75" customHeight="1">
      <c r="B28" s="14" t="s">
        <v>13</v>
      </c>
      <c r="C28" s="15"/>
      <c r="D28" s="16">
        <f>SUBTOTAL(109,SchoolExpense[Amount])</f>
        <v>0</v>
      </c>
      <c r="F28" s="33" t="s">
        <v>25</v>
      </c>
      <c r="G28" s="33"/>
    </row>
    <row r="29" spans="2:7" ht="12.75" customHeight="1">
      <c r="B29" s="17"/>
      <c r="C29" s="18"/>
      <c r="D29" s="19"/>
      <c r="F29" s="22" t="s">
        <v>4</v>
      </c>
      <c r="G29" s="23" t="s">
        <v>5</v>
      </c>
    </row>
    <row r="30" spans="2:7" ht="12.75" customHeight="1">
      <c r="B30" s="35" t="s">
        <v>22</v>
      </c>
      <c r="C30" s="35"/>
      <c r="D30" s="35"/>
      <c r="F30" s="24" t="s">
        <v>37</v>
      </c>
      <c r="G30" s="3"/>
    </row>
    <row r="31" spans="2:7" ht="12.75" customHeight="1">
      <c r="B31" s="26" t="s">
        <v>4</v>
      </c>
      <c r="C31" s="27" t="s">
        <v>29</v>
      </c>
      <c r="D31" s="27" t="s">
        <v>5</v>
      </c>
      <c r="F31" s="24" t="s">
        <v>38</v>
      </c>
      <c r="G31" s="3"/>
    </row>
    <row r="32" spans="2:7" ht="12.75" customHeight="1">
      <c r="B32" s="28" t="s">
        <v>39</v>
      </c>
      <c r="C32" s="12"/>
      <c r="D32" s="20"/>
      <c r="F32" s="24" t="s">
        <v>40</v>
      </c>
      <c r="G32" s="3"/>
    </row>
    <row r="33" spans="2:7" ht="12.75" customHeight="1">
      <c r="B33" s="28" t="s">
        <v>41</v>
      </c>
      <c r="C33" s="12"/>
      <c r="D33" s="20"/>
      <c r="F33" s="24" t="s">
        <v>42</v>
      </c>
      <c r="G33" s="3"/>
    </row>
    <row r="34" spans="2:7" ht="12.75" customHeight="1">
      <c r="B34" s="28" t="s">
        <v>43</v>
      </c>
      <c r="C34" s="12"/>
      <c r="D34" s="20"/>
      <c r="F34" s="24" t="s">
        <v>44</v>
      </c>
      <c r="G34" s="3"/>
    </row>
    <row r="35" spans="2:7" ht="12.75" customHeight="1">
      <c r="B35" s="28" t="s">
        <v>45</v>
      </c>
      <c r="C35" s="12"/>
      <c r="D35" s="20"/>
      <c r="F35" s="24" t="s">
        <v>46</v>
      </c>
      <c r="G35" s="3"/>
    </row>
    <row r="36" spans="2:7" ht="12.75" customHeight="1">
      <c r="B36" s="28" t="s">
        <v>47</v>
      </c>
      <c r="C36" s="12"/>
      <c r="D36" s="20"/>
      <c r="F36" s="24" t="s">
        <v>48</v>
      </c>
      <c r="G36" s="3"/>
    </row>
    <row r="37" spans="2:7" ht="12.75" customHeight="1">
      <c r="B37" s="14" t="s">
        <v>13</v>
      </c>
      <c r="C37" s="21"/>
      <c r="D37" s="16">
        <f>SUBTOTAL(109,CollegeExpense[Amount])</f>
        <v>0</v>
      </c>
      <c r="F37" s="25" t="s">
        <v>13</v>
      </c>
      <c r="G37" s="4">
        <f>SUBTOTAL(109,General[Amount $])</f>
        <v>0</v>
      </c>
    </row>
  </sheetData>
  <mergeCells count="18">
    <mergeCell ref="F28:G28"/>
    <mergeCell ref="B22:D22"/>
    <mergeCell ref="B30:D30"/>
    <mergeCell ref="C5:D5"/>
    <mergeCell ref="C6:D6"/>
    <mergeCell ref="C7:D7"/>
    <mergeCell ref="C8:D8"/>
    <mergeCell ref="C9:D9"/>
    <mergeCell ref="C10:D10"/>
    <mergeCell ref="F11:G11"/>
    <mergeCell ref="C11:D11"/>
    <mergeCell ref="B1:G1"/>
    <mergeCell ref="B2:G2"/>
    <mergeCell ref="C12:D12"/>
    <mergeCell ref="B14:D14"/>
    <mergeCell ref="F18:G18"/>
    <mergeCell ref="B4:D4"/>
    <mergeCell ref="F4:G4"/>
  </mergeCells>
  <phoneticPr fontId="11" type="noConversion"/>
  <pageMargins left="0.7" right="0.7" top="0.75" bottom="0.75" header="0.3" footer="0.3"/>
  <pageSetup paperSize="9" scale="75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C946595C-40D5-4555-A01A-B871D073A09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K-12 费用计算器</vt:lpstr>
      <vt:lpstr>'K-12 费用计算器'!Print_Area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K-12 学校费用计算器</dc:title>
  <dc:creator>king</dc:creator>
  <cp:keywords/>
  <cp:lastModifiedBy>king</cp:lastModifiedBy>
  <cp:lastPrinted>2008-11-08T01:20:02Z</cp:lastPrinted>
  <dcterms:created xsi:type="dcterms:W3CDTF">2017-09-28T13:48:53Z</dcterms:created>
  <dcterms:modified xsi:type="dcterms:W3CDTF">2017-09-28T13:48:53Z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TC103362699990</vt:lpwstr>
  </property>
</Properties>
</file>