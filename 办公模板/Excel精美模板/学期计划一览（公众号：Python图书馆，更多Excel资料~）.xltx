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/>
  <workbookPr refreshAllConnections="1"/>
  <mc:AlternateContent xmlns:mc="http://schemas.openxmlformats.org/markup-compatibility/2006">
    <mc:Choice Requires="x15">
      <x15ac:absPath xmlns:x15ac="http://schemas.microsoft.com/office/spreadsheetml/2010/11/ac" url="D:\用户目录\Documents\自定义 Office 模板\"/>
    </mc:Choice>
  </mc:AlternateContent>
  <bookViews>
    <workbookView xWindow="0" yWindow="0" windowWidth="22650" windowHeight="11280" tabRatio="783"/>
  </bookViews>
  <sheets>
    <sheet name="课程列表" sheetId="1" r:id="rId1"/>
    <sheet name="工作数据输入" sheetId="2" r:id="rId2"/>
    <sheet name="每周日程安排" sheetId="7" r:id="rId3"/>
    <sheet name="作业到期报告" sheetId="4" r:id="rId4"/>
    <sheet name="学期日程安排" sheetId="3" r:id="rId5"/>
  </sheets>
  <definedNames>
    <definedName name="_xlnm.Print_Titles" localSheetId="2">每周日程安排!$B:$D,每周日程安排!$4:$4</definedName>
    <definedName name="_xlnm.Print_Titles" localSheetId="3">作业到期报告!$B:$E,作业到期报告!$4:$4</definedName>
    <definedName name="打印标题" localSheetId="1">工作数据输入!$4:$4</definedName>
    <definedName name="打印标题" localSheetId="0">课程列表!$4:$4</definedName>
    <definedName name="打印标题" localSheetId="2">每周日程安排!$4:$4</definedName>
    <definedName name="打印标题" localSheetId="3">作业到期报告!$4:$4</definedName>
    <definedName name="打印区域" localSheetId="1">tblWork[]</definedName>
    <definedName name="打印区域" localSheetId="0">tblClassList[]</definedName>
    <definedName name="打印区域" localSheetId="2">日程安排打印区域</definedName>
    <definedName name="打印区域" localSheetId="4">学期日程安排!$D$5:$T$22</definedName>
    <definedName name="打印区域" localSheetId="3">作业打印区域</definedName>
    <definedName name="日程安排打印区域">OFFSET(每周日程安排!$B$4:$D488,,,COUNTA(每周日程安排!$D:$D))</definedName>
    <definedName name="日程安排结束">学期日程安排!$U$11</definedName>
    <definedName name="日程安排开始">学期日程安排!$U$9</definedName>
    <definedName name="日程安排年">学期日程安排!$U$7</definedName>
    <definedName name="日程安排学期">学期日程安排!$U$5</definedName>
    <definedName name="作业打印区域">OFFSET(作业到期报告!$B$4:$E488,,,COUNTA(作业到期报告!$D:$D))</definedName>
  </definedNames>
  <calcPr calcId="171027"/>
  <pivotCaches>
    <pivotCache cacheId="17" r:id="rId6"/>
    <pivotCache cacheId="22" r:id="rId7"/>
  </pivotCaches>
</workbook>
</file>

<file path=xl/calcChain.xml><?xml version="1.0" encoding="utf-8"?>
<calcChain xmlns="http://schemas.openxmlformats.org/spreadsheetml/2006/main">
  <c r="M14" i="3" l="1"/>
  <c r="E14" i="3"/>
  <c r="M5" i="3"/>
  <c r="E5" i="3"/>
  <c r="N14" i="3"/>
  <c r="F14" i="3"/>
  <c r="N5" i="3"/>
  <c r="F5" i="3"/>
  <c r="C5" i="2" l="1"/>
  <c r="C6" i="2"/>
  <c r="C7" i="2"/>
  <c r="C8" i="2"/>
  <c r="C9" i="2"/>
  <c r="C10" i="2"/>
  <c r="C11" i="2"/>
  <c r="C12" i="2"/>
  <c r="J5" i="1"/>
  <c r="J6" i="1"/>
  <c r="J7" i="1"/>
  <c r="J8" i="1"/>
  <c r="J9" i="1"/>
  <c r="J10" i="1"/>
  <c r="J11" i="1"/>
  <c r="E4" i="3" l="1"/>
  <c r="F4" i="3"/>
  <c r="E7" i="3" s="1"/>
  <c r="M4" i="3"/>
  <c r="N4" i="3"/>
  <c r="M7" i="3" l="1"/>
  <c r="N13" i="3"/>
  <c r="M13" i="3"/>
  <c r="F13" i="3"/>
  <c r="E16" i="3" s="1"/>
  <c r="F16" i="3" s="1"/>
  <c r="G16" i="3" s="1"/>
  <c r="H16" i="3" s="1"/>
  <c r="E13" i="3"/>
  <c r="I16" i="3" l="1"/>
  <c r="J16" i="3" s="1"/>
  <c r="K16" i="3" s="1"/>
  <c r="M16" i="3"/>
  <c r="N16" i="3" s="1"/>
  <c r="O16" i="3" s="1"/>
  <c r="P16" i="3" s="1"/>
  <c r="Q16" i="3" s="1"/>
  <c r="R16" i="3" s="1"/>
  <c r="S16" i="3" s="1"/>
  <c r="M17" i="3" s="1"/>
  <c r="N7" i="3"/>
  <c r="O7" i="3" s="1"/>
  <c r="P7" i="3" s="1"/>
  <c r="Q7" i="3" s="1"/>
  <c r="R7" i="3" s="1"/>
  <c r="S7" i="3" s="1"/>
  <c r="M8" i="3" s="1"/>
  <c r="N17" i="3" l="1"/>
  <c r="N8" i="3"/>
  <c r="E17" i="3"/>
  <c r="F17" i="3" l="1"/>
  <c r="O8" i="3"/>
  <c r="O17" i="3"/>
  <c r="P17" i="3" l="1"/>
  <c r="P8" i="3"/>
  <c r="G17" i="3"/>
  <c r="H17" i="3" l="1"/>
  <c r="Q8" i="3"/>
  <c r="Q17" i="3"/>
  <c r="R17" i="3" l="1"/>
  <c r="R8" i="3"/>
  <c r="I17" i="3"/>
  <c r="J17" i="3" l="1"/>
  <c r="S8" i="3"/>
  <c r="S17" i="3"/>
  <c r="M18" i="3" l="1"/>
  <c r="N18" i="3" s="1"/>
  <c r="O18" i="3" s="1"/>
  <c r="P18" i="3" s="1"/>
  <c r="Q18" i="3" s="1"/>
  <c r="R18" i="3" s="1"/>
  <c r="S18" i="3" s="1"/>
  <c r="M19" i="3" s="1"/>
  <c r="N19" i="3" s="1"/>
  <c r="O19" i="3" s="1"/>
  <c r="P19" i="3" s="1"/>
  <c r="Q19" i="3" s="1"/>
  <c r="R19" i="3" s="1"/>
  <c r="S19" i="3" s="1"/>
  <c r="M20" i="3" s="1"/>
  <c r="N20" i="3" s="1"/>
  <c r="O20" i="3" s="1"/>
  <c r="P20" i="3" s="1"/>
  <c r="Q20" i="3" s="1"/>
  <c r="R20" i="3" s="1"/>
  <c r="S20" i="3" s="1"/>
  <c r="M21" i="3" s="1"/>
  <c r="N21" i="3" s="1"/>
  <c r="O21" i="3" s="1"/>
  <c r="P21" i="3" s="1"/>
  <c r="Q21" i="3" s="1"/>
  <c r="R21" i="3" s="1"/>
  <c r="S21" i="3" s="1"/>
  <c r="M9" i="3"/>
  <c r="N9" i="3" s="1"/>
  <c r="O9" i="3" s="1"/>
  <c r="P9" i="3" s="1"/>
  <c r="Q9" i="3" s="1"/>
  <c r="R9" i="3" s="1"/>
  <c r="S9" i="3" s="1"/>
  <c r="M10" i="3" s="1"/>
  <c r="N10" i="3" s="1"/>
  <c r="O10" i="3" s="1"/>
  <c r="P10" i="3" s="1"/>
  <c r="Q10" i="3" s="1"/>
  <c r="R10" i="3" s="1"/>
  <c r="S10" i="3" s="1"/>
  <c r="M11" i="3" s="1"/>
  <c r="N11" i="3" s="1"/>
  <c r="O11" i="3" s="1"/>
  <c r="P11" i="3" s="1"/>
  <c r="Q11" i="3" s="1"/>
  <c r="R11" i="3" s="1"/>
  <c r="S11" i="3" s="1"/>
  <c r="M12" i="3" s="1"/>
  <c r="N12" i="3" s="1"/>
  <c r="O12" i="3" s="1"/>
  <c r="P12" i="3" s="1"/>
  <c r="Q12" i="3" s="1"/>
  <c r="R12" i="3" s="1"/>
  <c r="S12" i="3" s="1"/>
  <c r="K17" i="3"/>
  <c r="E18" i="3" l="1"/>
  <c r="F18" i="3" s="1"/>
  <c r="G18" i="3" s="1"/>
  <c r="H18" i="3" s="1"/>
  <c r="I18" i="3" s="1"/>
  <c r="J18" i="3" s="1"/>
  <c r="K18" i="3" s="1"/>
  <c r="E19" i="3" s="1"/>
  <c r="F19" i="3" s="1"/>
  <c r="G19" i="3" s="1"/>
  <c r="H19" i="3" s="1"/>
  <c r="I19" i="3" s="1"/>
  <c r="J19" i="3" s="1"/>
  <c r="K19" i="3" s="1"/>
  <c r="E20" i="3" s="1"/>
  <c r="F20" i="3" s="1"/>
  <c r="G20" i="3" s="1"/>
  <c r="H20" i="3" s="1"/>
  <c r="I20" i="3" s="1"/>
  <c r="J20" i="3" s="1"/>
  <c r="K20" i="3" s="1"/>
  <c r="E21" i="3" s="1"/>
  <c r="F21" i="3" s="1"/>
  <c r="G21" i="3" s="1"/>
  <c r="H21" i="3" s="1"/>
  <c r="I21" i="3" s="1"/>
  <c r="J21" i="3" s="1"/>
  <c r="K21" i="3" s="1"/>
  <c r="J7" i="3"/>
  <c r="K7" i="3"/>
  <c r="E8" i="3" s="1"/>
  <c r="F8" i="3" s="1"/>
  <c r="G8" i="3" s="1"/>
  <c r="H8" i="3" s="1"/>
  <c r="I8" i="3" s="1"/>
  <c r="J8" i="3" s="1"/>
  <c r="K8" i="3" s="1"/>
  <c r="E9" i="3" s="1"/>
  <c r="F9" i="3" s="1"/>
  <c r="G9" i="3" s="1"/>
  <c r="H9" i="3" s="1"/>
  <c r="I9" i="3" s="1"/>
  <c r="J9" i="3" s="1"/>
  <c r="K9" i="3" s="1"/>
  <c r="E10" i="3" s="1"/>
  <c r="F10" i="3" s="1"/>
  <c r="G10" i="3" s="1"/>
  <c r="H10" i="3" s="1"/>
  <c r="I10" i="3" s="1"/>
  <c r="J10" i="3" s="1"/>
  <c r="K10" i="3" s="1"/>
  <c r="E11" i="3" s="1"/>
  <c r="F11" i="3" s="1"/>
  <c r="G11" i="3" s="1"/>
  <c r="H11" i="3" s="1"/>
  <c r="I11" i="3" s="1"/>
  <c r="J11" i="3" s="1"/>
  <c r="K11" i="3" s="1"/>
  <c r="E12" i="3" s="1"/>
  <c r="F12" i="3" s="1"/>
  <c r="G12" i="3" s="1"/>
  <c r="H12" i="3" s="1"/>
  <c r="I12" i="3" s="1"/>
  <c r="J12" i="3" s="1"/>
  <c r="K12" i="3" s="1"/>
  <c r="F7" i="3"/>
  <c r="G7" i="3" s="1"/>
  <c r="H7" i="3" s="1"/>
  <c r="I7" i="3" s="1"/>
</calcChain>
</file>

<file path=xl/sharedStrings.xml><?xml version="1.0" encoding="utf-8"?>
<sst xmlns="http://schemas.openxmlformats.org/spreadsheetml/2006/main" count="143" uniqueCount="49">
  <si>
    <t>CS 120</t>
  </si>
  <si>
    <t>SP 111</t>
  </si>
  <si>
    <t>PSY 101</t>
  </si>
  <si>
    <t>课程列表</t>
  </si>
  <si>
    <t>课程 ID</t>
  </si>
  <si>
    <t>名称</t>
  </si>
  <si>
    <t>讲师</t>
  </si>
  <si>
    <t>天</t>
  </si>
  <si>
    <t>年</t>
  </si>
  <si>
    <t>学期</t>
  </si>
  <si>
    <t>开始时间</t>
  </si>
  <si>
    <t>结束时间</t>
  </si>
  <si>
    <t>持续时间</t>
  </si>
  <si>
    <t>计算机应用介绍</t>
  </si>
  <si>
    <t>李儒林</t>
  </si>
  <si>
    <t>星期一</t>
  </si>
  <si>
    <t>春季</t>
  </si>
  <si>
    <t>星期三</t>
  </si>
  <si>
    <t>WR121</t>
  </si>
  <si>
    <t>写作</t>
  </si>
  <si>
    <t>何向辉</t>
  </si>
  <si>
    <t>星期二</t>
  </si>
  <si>
    <t>星期四</t>
  </si>
  <si>
    <t>演讲</t>
  </si>
  <si>
    <t>徐灵俊</t>
  </si>
  <si>
    <t>基础心理学</t>
  </si>
  <si>
    <t>郭爱明</t>
  </si>
  <si>
    <t>工作数据输入</t>
  </si>
  <si>
    <t>项目描述</t>
  </si>
  <si>
    <t>到期日</t>
  </si>
  <si>
    <t>作业 2</t>
  </si>
  <si>
    <t>演示文稿 1</t>
  </si>
  <si>
    <t>测验 1</t>
  </si>
  <si>
    <t>作业 1</t>
  </si>
  <si>
    <t>作业 3</t>
  </si>
  <si>
    <t>作业 4</t>
  </si>
  <si>
    <t>每周日程安排</t>
  </si>
  <si>
    <t>作业到期报告</t>
  </si>
  <si>
    <t>学期日程安排</t>
  </si>
  <si>
    <t>开始日期</t>
  </si>
  <si>
    <t>结束日期</t>
  </si>
  <si>
    <t>春节</t>
  </si>
  <si>
    <t>日</t>
  </si>
  <si>
    <t>一</t>
  </si>
  <si>
    <t>二</t>
  </si>
  <si>
    <t>三</t>
  </si>
  <si>
    <t>四</t>
  </si>
  <si>
    <t>五</t>
  </si>
  <si>
    <t>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</si>
</sst>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_(* #,##0.00_);_(* \(#,##0.00\);_(* &quot;-&quot;??_);_(@_)"/>
    <numFmt numFmtId="177" formatCode="mmmm"/>
    <numFmt numFmtId="178" formatCode="_(* #,##0_);_(* \(#,##0\);_(* &quot;-&quot;??_);_(@_)"/>
    <numFmt numFmtId="179" formatCode="yy/m/d\ aaa"/>
    <numFmt numFmtId="180" formatCode="m&quot;月&quot;"/>
  </numFmts>
  <fonts count="17" x14ac:knownFonts="1">
    <font>
      <sz val="10"/>
      <color theme="1"/>
      <name val="Corbel"/>
      <family val="2"/>
      <scheme val="minor"/>
    </font>
    <font>
      <sz val="11"/>
      <color theme="1"/>
      <name val="Corbel"/>
      <family val="2"/>
      <scheme val="minor"/>
    </font>
    <font>
      <sz val="14"/>
      <color theme="1"/>
      <name val="Corbel"/>
      <family val="2"/>
      <scheme val="minor"/>
    </font>
    <font>
      <sz val="28"/>
      <color theme="4"/>
      <name val="Corbel"/>
      <family val="2"/>
      <scheme val="major"/>
    </font>
    <font>
      <sz val="9"/>
      <name val="宋体"/>
      <family val="3"/>
      <charset val="134"/>
      <scheme val="minor"/>
    </font>
    <font>
      <sz val="28"/>
      <color theme="4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b/>
      <sz val="10"/>
      <color theme="1"/>
      <name val="Microsoft YaHei UI"/>
      <family val="2"/>
      <charset val="134"/>
    </font>
    <font>
      <sz val="14"/>
      <color theme="1"/>
      <name val="Microsoft YaHei UI"/>
      <family val="2"/>
      <charset val="134"/>
    </font>
    <font>
      <sz val="10"/>
      <color theme="3"/>
      <name val="Microsoft YaHei UI"/>
      <family val="2"/>
      <charset val="134"/>
    </font>
    <font>
      <sz val="16"/>
      <color theme="1"/>
      <name val="Microsoft YaHei UI"/>
      <family val="2"/>
      <charset val="134"/>
    </font>
    <font>
      <sz val="10"/>
      <color theme="0" tint="-4.9989318521683403E-2"/>
      <name val="Microsoft YaHei UI"/>
      <family val="2"/>
      <charset val="134"/>
    </font>
    <font>
      <b/>
      <sz val="12"/>
      <color theme="3"/>
      <name val="Microsoft YaHei UI"/>
      <family val="2"/>
      <charset val="134"/>
    </font>
    <font>
      <b/>
      <sz val="10"/>
      <color theme="3"/>
      <name val="Microsoft YaHei UI"/>
      <family val="2"/>
      <charset val="134"/>
    </font>
    <font>
      <b/>
      <sz val="12"/>
      <color theme="0"/>
      <name val="Microsoft YaHei UI"/>
      <family val="2"/>
      <charset val="134"/>
    </font>
    <font>
      <b/>
      <sz val="10"/>
      <color theme="4"/>
      <name val="Microsoft YaHei UI"/>
      <family val="2"/>
      <charset val="134"/>
    </font>
    <font>
      <b/>
      <sz val="12"/>
      <color theme="0" tint="-4.9989318521683403E-2"/>
      <name val="Microsoft YaHei UI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2" tint="-0.24994659260841701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0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0"/>
      </bottom>
      <diagonal/>
    </border>
    <border>
      <left style="thin">
        <color theme="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4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0"/>
      </right>
      <top style="thin">
        <color theme="0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0"/>
      </top>
      <bottom style="thin">
        <color theme="4"/>
      </bottom>
      <diagonal/>
    </border>
  </borders>
  <cellStyleXfs count="3">
    <xf numFmtId="0" fontId="0" fillId="4" borderId="0" applyBorder="0">
      <alignment vertical="center"/>
    </xf>
    <xf numFmtId="176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6">
    <xf numFmtId="0" fontId="0" fillId="4" borderId="0" xfId="0">
      <alignment vertical="center"/>
    </xf>
    <xf numFmtId="0" fontId="0" fillId="4" borderId="0" xfId="0" pivotButton="1">
      <alignment vertical="center"/>
    </xf>
    <xf numFmtId="0" fontId="0" fillId="4" borderId="0" xfId="0" applyFill="1">
      <alignment vertical="center"/>
    </xf>
    <xf numFmtId="0" fontId="2" fillId="4" borderId="0" xfId="0" applyFont="1" applyFill="1">
      <alignment vertical="center"/>
    </xf>
    <xf numFmtId="0" fontId="3" fillId="4" borderId="0" xfId="2" applyFill="1" applyAlignment="1"/>
    <xf numFmtId="0" fontId="5" fillId="4" borderId="0" xfId="2" applyFont="1" applyFill="1" applyAlignment="1"/>
    <xf numFmtId="0" fontId="6" fillId="4" borderId="0" xfId="0" applyFont="1" applyFill="1">
      <alignment vertical="center"/>
    </xf>
    <xf numFmtId="0" fontId="6" fillId="4" borderId="0" xfId="0" applyFont="1" applyFill="1" applyBorder="1">
      <alignment vertical="center"/>
    </xf>
    <xf numFmtId="0" fontId="6" fillId="4" borderId="0" xfId="0" applyFont="1" applyFill="1" applyBorder="1" applyAlignment="1">
      <alignment horizontal="left" vertical="center"/>
    </xf>
    <xf numFmtId="20" fontId="6" fillId="4" borderId="0" xfId="0" applyNumberFormat="1" applyFont="1" applyFill="1" applyBorder="1" applyAlignment="1">
      <alignment horizontal="left" vertical="center"/>
    </xf>
    <xf numFmtId="0" fontId="6" fillId="4" borderId="0" xfId="0" applyFont="1" applyFill="1" applyAlignment="1">
      <alignment vertical="center"/>
    </xf>
    <xf numFmtId="0" fontId="6" fillId="4" borderId="0" xfId="0" applyFont="1" applyFill="1" applyBorder="1" applyAlignment="1">
      <alignment horizontal="left" vertical="center" wrapText="1"/>
    </xf>
    <xf numFmtId="0" fontId="7" fillId="4" borderId="0" xfId="0" applyFont="1" applyFill="1">
      <alignment vertical="center"/>
    </xf>
    <xf numFmtId="179" fontId="6" fillId="4" borderId="0" xfId="0" applyNumberFormat="1" applyFont="1" applyFill="1" applyBorder="1" applyAlignment="1">
      <alignment horizontal="left" vertical="center"/>
    </xf>
    <xf numFmtId="0" fontId="8" fillId="4" borderId="0" xfId="0" applyFont="1" applyFill="1">
      <alignment vertical="center"/>
    </xf>
    <xf numFmtId="0" fontId="6" fillId="4" borderId="0" xfId="0" applyFont="1" applyFill="1" applyAlignment="1">
      <alignment vertical="center" wrapText="1"/>
    </xf>
    <xf numFmtId="0" fontId="6" fillId="4" borderId="0" xfId="0" applyFont="1" applyFill="1" applyAlignment="1">
      <alignment horizontal="left" vertical="center" wrapText="1"/>
    </xf>
    <xf numFmtId="0" fontId="6" fillId="4" borderId="0" xfId="0" applyFont="1">
      <alignment vertical="center"/>
    </xf>
    <xf numFmtId="0" fontId="10" fillId="4" borderId="0" xfId="0" applyFont="1" applyFill="1">
      <alignment vertical="center"/>
    </xf>
    <xf numFmtId="178" fontId="11" fillId="4" borderId="0" xfId="1" applyNumberFormat="1" applyFont="1" applyFill="1" applyAlignment="1">
      <alignment vertical="center"/>
    </xf>
    <xf numFmtId="0" fontId="11" fillId="4" borderId="0" xfId="0" applyFont="1" applyFill="1">
      <alignment vertical="center"/>
    </xf>
    <xf numFmtId="177" fontId="12" fillId="4" borderId="0" xfId="0" applyNumberFormat="1" applyFont="1" applyFill="1" applyBorder="1" applyAlignment="1">
      <alignment horizontal="left" vertical="center"/>
    </xf>
    <xf numFmtId="0" fontId="13" fillId="4" borderId="0" xfId="0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left" vertical="top"/>
    </xf>
    <xf numFmtId="0" fontId="14" fillId="2" borderId="2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left"/>
    </xf>
    <xf numFmtId="1" fontId="9" fillId="3" borderId="6" xfId="0" applyNumberFormat="1" applyFont="1" applyFill="1" applyBorder="1" applyAlignment="1">
      <alignment horizontal="center" vertical="center"/>
    </xf>
    <xf numFmtId="1" fontId="9" fillId="3" borderId="7" xfId="0" applyNumberFormat="1" applyFont="1" applyFill="1" applyBorder="1" applyAlignment="1">
      <alignment horizontal="center" vertical="center"/>
    </xf>
    <xf numFmtId="1" fontId="9" fillId="3" borderId="8" xfId="0" applyNumberFormat="1" applyFont="1" applyFill="1" applyBorder="1" applyAlignment="1">
      <alignment horizontal="center" vertical="center"/>
    </xf>
    <xf numFmtId="1" fontId="9" fillId="3" borderId="9" xfId="0" applyNumberFormat="1" applyFont="1" applyFill="1" applyBorder="1" applyAlignment="1">
      <alignment horizontal="center" vertical="center"/>
    </xf>
    <xf numFmtId="1" fontId="9" fillId="3" borderId="5" xfId="0" applyNumberFormat="1" applyFont="1" applyFill="1" applyBorder="1" applyAlignment="1">
      <alignment horizontal="center" vertical="center"/>
    </xf>
    <xf numFmtId="1" fontId="9" fillId="3" borderId="10" xfId="0" applyNumberFormat="1" applyFont="1" applyFill="1" applyBorder="1" applyAlignment="1">
      <alignment horizontal="center" vertical="center"/>
    </xf>
    <xf numFmtId="1" fontId="9" fillId="3" borderId="11" xfId="0" applyNumberFormat="1" applyFont="1" applyFill="1" applyBorder="1" applyAlignment="1">
      <alignment horizontal="center" vertical="center"/>
    </xf>
    <xf numFmtId="1" fontId="9" fillId="3" borderId="12" xfId="0" applyNumberFormat="1" applyFont="1" applyFill="1" applyBorder="1" applyAlignment="1">
      <alignment horizontal="center" vertical="center"/>
    </xf>
    <xf numFmtId="1" fontId="9" fillId="3" borderId="13" xfId="0" applyNumberFormat="1" applyFont="1" applyFill="1" applyBorder="1" applyAlignment="1">
      <alignment horizontal="center" vertical="center"/>
    </xf>
    <xf numFmtId="179" fontId="6" fillId="4" borderId="0" xfId="0" applyNumberFormat="1" applyFont="1" applyFill="1">
      <alignment vertical="center"/>
    </xf>
    <xf numFmtId="0" fontId="6" fillId="4" borderId="0" xfId="0" pivotButton="1" applyFont="1">
      <alignment vertical="center"/>
    </xf>
    <xf numFmtId="179" fontId="6" fillId="4" borderId="0" xfId="0" applyNumberFormat="1" applyFont="1" applyAlignment="1">
      <alignment horizontal="left" vertical="center"/>
    </xf>
    <xf numFmtId="179" fontId="9" fillId="4" borderId="0" xfId="0" applyNumberFormat="1" applyFont="1" applyFill="1" applyBorder="1" applyAlignment="1">
      <alignment horizontal="left" vertical="top"/>
    </xf>
    <xf numFmtId="0" fontId="6" fillId="4" borderId="0" xfId="0" applyNumberFormat="1" applyFont="1" applyFill="1">
      <alignment vertical="center"/>
    </xf>
    <xf numFmtId="180" fontId="12" fillId="4" borderId="0" xfId="0" applyNumberFormat="1" applyFont="1" applyFill="1" applyBorder="1" applyAlignment="1">
      <alignment horizontal="left" vertical="center"/>
    </xf>
    <xf numFmtId="180" fontId="16" fillId="4" borderId="0" xfId="0" applyNumberFormat="1" applyFont="1" applyFill="1" applyBorder="1" applyAlignment="1">
      <alignment horizontal="left" vertical="center"/>
    </xf>
    <xf numFmtId="177" fontId="16" fillId="4" borderId="0" xfId="0" applyNumberFormat="1" applyFont="1" applyFill="1" applyBorder="1" applyAlignment="1">
      <alignment horizontal="left" vertical="center"/>
    </xf>
    <xf numFmtId="20" fontId="6" fillId="4" borderId="0" xfId="0" applyNumberFormat="1" applyFont="1">
      <alignment vertical="center"/>
    </xf>
  </cellXfs>
  <cellStyles count="3">
    <cellStyle name="标题" xfId="2" builtinId="15" customBuiltin="1"/>
    <cellStyle name="常规" xfId="0" builtinId="0" customBuiltin="1"/>
    <cellStyle name="千位分隔" xfId="1" builtinId="3"/>
  </cellStyles>
  <dxfs count="60">
    <dxf>
      <numFmt numFmtId="25" formatCode="h:mm"/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alignment horizontal="left" readingOrder="0"/>
    </dxf>
    <dxf>
      <font>
        <b/>
        <i val="0"/>
      </font>
      <fill>
        <patternFill>
          <bgColor theme="5" tint="0.79998168889431442"/>
        </patternFill>
      </fill>
    </dxf>
    <dxf>
      <font>
        <b/>
        <i/>
        <color theme="4"/>
      </font>
    </dxf>
    <dxf>
      <font>
        <b/>
        <i val="0"/>
      </font>
      <fill>
        <patternFill>
          <bgColor theme="5" tint="0.79998168889431442"/>
        </patternFill>
      </fill>
    </dxf>
    <dxf>
      <font>
        <b/>
        <i/>
        <color theme="4"/>
      </font>
    </dxf>
    <dxf>
      <font>
        <b/>
        <i val="0"/>
      </font>
      <fill>
        <patternFill>
          <bgColor theme="5" tint="0.79998168889431442"/>
        </patternFill>
      </fill>
    </dxf>
    <dxf>
      <font>
        <b/>
        <i/>
        <color theme="4"/>
      </font>
    </dxf>
    <dxf>
      <font>
        <b/>
        <i val="0"/>
      </font>
      <fill>
        <patternFill>
          <bgColor theme="5" tint="0.79998168889431442"/>
        </patternFill>
      </fill>
    </dxf>
    <dxf>
      <font>
        <b/>
        <i/>
        <color theme="4"/>
      </font>
      <fill>
        <patternFill patternType="none">
          <bgColor auto="1"/>
        </patternFill>
      </fill>
    </dxf>
    <dxf>
      <alignment horizontal="left" readingOrder="0"/>
    </dxf>
    <dxf>
      <font>
        <name val="Microsoft YaHei UI"/>
        <scheme val="none"/>
      </font>
    </dxf>
    <dxf>
      <fill>
        <patternFill>
          <bgColor theme="0"/>
        </patternFill>
      </fill>
      <border>
        <vertical/>
        <horizontal/>
      </border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numFmt numFmtId="25" formatCode="h:mm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9" formatCode="yy/m/d\ aaa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25" formatCode="h:mm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25" formatCode="h:mm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numFmt numFmtId="25" formatCode="h:mm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ill>
        <patternFill>
          <fgColor theme="0"/>
          <bgColor theme="0" tint="-4.9989318521683403E-2"/>
        </patternFill>
      </fill>
      <border>
        <vertical style="thin">
          <color theme="0"/>
        </vertical>
      </border>
    </dxf>
    <dxf>
      <font>
        <b/>
        <i val="0"/>
        <color theme="0"/>
      </font>
      <fill>
        <patternFill patternType="solid">
          <fgColor auto="1"/>
          <bgColor theme="4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/>
        <vertical style="thin">
          <color theme="0"/>
        </vertical>
        <horizontal/>
      </border>
    </dxf>
    <dxf>
      <font>
        <color theme="3"/>
      </font>
      <fill>
        <patternFill>
          <bgColor theme="0"/>
        </patternFill>
      </fill>
      <border>
        <bottom style="thin">
          <color theme="4"/>
        </bottom>
        <horizontal style="thin">
          <color theme="4"/>
        </horizontal>
      </border>
    </dxf>
    <dxf>
      <fill>
        <patternFill patternType="solid">
          <fgColor auto="1"/>
          <bgColor theme="0" tint="-4.9989318521683403E-2"/>
        </patternFill>
      </fill>
      <border>
        <vertical style="thin">
          <color theme="0"/>
        </vertical>
      </border>
    </dxf>
    <dxf>
      <fill>
        <patternFill>
          <bgColor theme="0" tint="-0.14996795556505021"/>
        </patternFill>
      </fill>
      <border diagonalUp="0" diagonalDown="0">
        <left style="thin">
          <color theme="0" tint="-0.34998626667073579"/>
        </left>
        <right/>
        <top/>
        <bottom style="thin">
          <color theme="4"/>
        </bottom>
        <vertical/>
        <horizontal/>
      </border>
    </dxf>
    <dxf>
      <font>
        <color theme="3"/>
      </font>
      <fill>
        <patternFill>
          <bgColor theme="0" tint="-0.14996795556505021"/>
        </patternFill>
      </fill>
      <border diagonalUp="0" diagonalDown="0">
        <left/>
        <right/>
        <top/>
        <bottom/>
        <vertical style="thin">
          <color theme="0"/>
        </vertical>
        <horizontal/>
      </border>
    </dxf>
    <dxf>
      <fill>
        <patternFill>
          <fgColor theme="0"/>
          <bgColor theme="0" tint="-4.9989318521683403E-2"/>
        </patternFill>
      </fill>
      <border>
        <vertical style="thin">
          <color theme="0"/>
        </vertical>
      </border>
    </dxf>
    <dxf>
      <font>
        <b/>
        <i val="0"/>
        <color theme="0"/>
      </font>
      <fill>
        <patternFill patternType="solid">
          <fgColor auto="1"/>
          <bgColor theme="4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/>
        <vertical style="thin">
          <color theme="0"/>
        </vertical>
        <horizontal/>
      </border>
    </dxf>
    <dxf>
      <font>
        <color theme="3"/>
      </font>
      <fill>
        <patternFill>
          <bgColor theme="0"/>
        </patternFill>
      </fill>
      <border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/>
        </vertical>
        <horizontal/>
      </border>
    </dxf>
    <dxf>
      <font>
        <b/>
        <i val="0"/>
        <color theme="0"/>
      </font>
      <fill>
        <patternFill>
          <bgColor theme="4"/>
        </patternFill>
      </fill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color theme="3"/>
      </font>
      <fill>
        <patternFill patternType="solid">
          <bgColor theme="0"/>
        </patternFill>
      </fill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medium">
          <color theme="4"/>
        </bottom>
        <vertical style="thin">
          <color theme="0"/>
        </vertical>
        <horizontal style="thin">
          <color theme="0" tint="-4.9989318521683403E-2"/>
        </horizontal>
      </border>
    </dxf>
    <dxf>
      <font>
        <b val="0"/>
        <i val="0"/>
        <color theme="1"/>
      </font>
      <fill>
        <patternFill>
          <bgColor theme="0" tint="-0.14996795556505021"/>
        </patternFill>
      </fill>
      <border>
        <bottom style="thin">
          <color theme="4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4"/>
        </top>
        <bottom style="thin">
          <color theme="4"/>
        </bottom>
      </border>
    </dxf>
    <dxf>
      <font>
        <b/>
        <i val="0"/>
        <color theme="0"/>
      </font>
      <fill>
        <patternFill>
          <bgColor theme="4"/>
        </patternFill>
      </fill>
      <border>
        <top style="thin">
          <color theme="4"/>
        </top>
        <bottom style="thin">
          <color theme="4"/>
        </bottom>
        <vertical style="medium">
          <color theme="0"/>
        </vertical>
      </border>
    </dxf>
    <dxf>
      <font>
        <color theme="1"/>
      </font>
      <fill>
        <patternFill>
          <bgColor theme="0"/>
        </patternFill>
      </fill>
      <border>
        <bottom style="thin">
          <color theme="4"/>
        </bottom>
        <horizontal style="thin">
          <color theme="4"/>
        </horizontal>
      </border>
    </dxf>
  </dxfs>
  <tableStyles count="4" defaultTableStyle="Semester at a Glance" defaultPivotStyle="学期计划一览数据透视表">
    <tableStyle name="PivotStyleLight2 2" table="0" count="4">
      <tableStyleElement type="wholeTable" dxfId="59"/>
      <tableStyleElement type="headerRow" dxfId="58"/>
      <tableStyleElement type="totalRow" dxfId="57"/>
      <tableStyleElement type="firstRowSubheading" dxfId="56"/>
    </tableStyle>
    <tableStyle name="Semester at a Glance" pivot="0" count="3">
      <tableStyleElement type="wholeTable" dxfId="55"/>
      <tableStyleElement type="headerRow" dxfId="54"/>
      <tableStyleElement type="firstRowStripe" dxfId="53"/>
    </tableStyle>
    <tableStyle name="学期计划一览数据透视表" table="0" count="6">
      <tableStyleElement type="wholeTable" dxfId="52"/>
      <tableStyleElement type="headerRow" dxfId="51"/>
      <tableStyleElement type="firstColumn" dxfId="50"/>
      <tableStyleElement type="firstColumnStripe" dxfId="49"/>
      <tableStyleElement type="firstRowSubheading" dxfId="48"/>
      <tableStyleElement type="secondRowSubheading" dxfId="47"/>
    </tableStyle>
    <tableStyle name="学期计划一览数据透视表 2" table="0" count="3">
      <tableStyleElement type="wholeTable" dxfId="46"/>
      <tableStyleElement type="headerRow" dxfId="45"/>
      <tableStyleElement type="firstColumn" dxfId="4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&#20316;&#19994;&#21040;&#26399;&#25253;&#21578;!A1"/><Relationship Id="rId2" Type="http://schemas.openxmlformats.org/officeDocument/2006/relationships/hyperlink" Target="#&#27599;&#21608;&#26085;&#31243;&#23433;&#25490;!A1"/><Relationship Id="rId1" Type="http://schemas.openxmlformats.org/officeDocument/2006/relationships/hyperlink" Target="#&#24037;&#20316;&#25968;&#25454;&#36755;&#20837;!A1"/><Relationship Id="rId6" Type="http://schemas.openxmlformats.org/officeDocument/2006/relationships/hyperlink" Target="#&#35838;&#31243;&#21015;&#34920;!A1"/><Relationship Id="rId5" Type="http://schemas.openxmlformats.org/officeDocument/2006/relationships/hyperlink" Target="#'Class List'!A1"/><Relationship Id="rId4" Type="http://schemas.openxmlformats.org/officeDocument/2006/relationships/hyperlink" Target="#&#23398;&#26399;&#26085;&#31243;&#23433;&#25490;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&#20316;&#19994;&#21040;&#26399;&#25253;&#21578;!A1"/><Relationship Id="rId2" Type="http://schemas.openxmlformats.org/officeDocument/2006/relationships/hyperlink" Target="#&#24037;&#20316;&#25968;&#25454;&#36755;&#20837;!A1"/><Relationship Id="rId1" Type="http://schemas.openxmlformats.org/officeDocument/2006/relationships/hyperlink" Target="#&#27599;&#21608;&#26085;&#31243;&#23433;&#25490;!A1"/><Relationship Id="rId5" Type="http://schemas.openxmlformats.org/officeDocument/2006/relationships/hyperlink" Target="#&#35838;&#31243;&#21015;&#34920;!A1"/><Relationship Id="rId4" Type="http://schemas.openxmlformats.org/officeDocument/2006/relationships/hyperlink" Target="#&#23398;&#26399;&#26085;&#31243;&#23433;&#25490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&#20316;&#19994;&#21040;&#26399;&#25253;&#21578;!A1"/><Relationship Id="rId2" Type="http://schemas.openxmlformats.org/officeDocument/2006/relationships/hyperlink" Target="#&#24037;&#20316;&#25968;&#25454;&#36755;&#20837;!A1"/><Relationship Id="rId1" Type="http://schemas.openxmlformats.org/officeDocument/2006/relationships/hyperlink" Target="#&#27599;&#21608;&#26085;&#31243;&#23433;&#25490;!A1"/><Relationship Id="rId5" Type="http://schemas.openxmlformats.org/officeDocument/2006/relationships/hyperlink" Target="#&#35838;&#31243;&#21015;&#34920;!A1"/><Relationship Id="rId4" Type="http://schemas.openxmlformats.org/officeDocument/2006/relationships/hyperlink" Target="#&#23398;&#26399;&#26085;&#31243;&#23433;&#25490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&#20316;&#19994;&#21040;&#26399;&#25253;&#21578;!A1"/><Relationship Id="rId2" Type="http://schemas.openxmlformats.org/officeDocument/2006/relationships/hyperlink" Target="#&#27599;&#21608;&#26085;&#31243;&#23433;&#25490;!A1"/><Relationship Id="rId1" Type="http://schemas.openxmlformats.org/officeDocument/2006/relationships/hyperlink" Target="#&#24037;&#20316;&#25968;&#25454;&#36755;&#20837;!A1"/><Relationship Id="rId5" Type="http://schemas.openxmlformats.org/officeDocument/2006/relationships/hyperlink" Target="#&#35838;&#31243;&#21015;&#34920;!A1"/><Relationship Id="rId4" Type="http://schemas.openxmlformats.org/officeDocument/2006/relationships/hyperlink" Target="#&#23398;&#26399;&#26085;&#31243;&#23433;&#25490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&#20316;&#19994;&#21040;&#26399;&#25253;&#21578;!A1"/><Relationship Id="rId2" Type="http://schemas.openxmlformats.org/officeDocument/2006/relationships/hyperlink" Target="#&#27599;&#21608;&#26085;&#31243;&#23433;&#25490;!A1"/><Relationship Id="rId1" Type="http://schemas.openxmlformats.org/officeDocument/2006/relationships/hyperlink" Target="#&#24037;&#20316;&#25968;&#25454;&#36755;&#20837;!A1"/><Relationship Id="rId5" Type="http://schemas.openxmlformats.org/officeDocument/2006/relationships/hyperlink" Target="#&#35838;&#31243;&#21015;&#34920;!A1"/><Relationship Id="rId4" Type="http://schemas.openxmlformats.org/officeDocument/2006/relationships/hyperlink" Target="#&#23398;&#26399;&#26085;&#31243;&#23433;&#25490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9528</xdr:colOff>
      <xdr:row>1</xdr:row>
      <xdr:rowOff>485775</xdr:rowOff>
    </xdr:from>
    <xdr:to>
      <xdr:col>6</xdr:col>
      <xdr:colOff>47625</xdr:colOff>
      <xdr:row>1</xdr:row>
      <xdr:rowOff>485776</xdr:rowOff>
    </xdr:to>
    <xdr:cxnSp macro="">
      <xdr:nvCxnSpPr>
        <xdr:cNvPr id="9" name="直线连接线 8" descr="&quot;&quot;" title="按钮分隔符"/>
        <xdr:cNvCxnSpPr/>
      </xdr:nvCxnSpPr>
      <xdr:spPr>
        <a:xfrm flipH="1">
          <a:off x="123828" y="1123950"/>
          <a:ext cx="6172197" cy="1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177800" sx="200000" sy="2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1</xdr:col>
      <xdr:colOff>9527</xdr:colOff>
      <xdr:row>1</xdr:row>
      <xdr:rowOff>487680</xdr:rowOff>
    </xdr:from>
    <xdr:to>
      <xdr:col>9</xdr:col>
      <xdr:colOff>611505</xdr:colOff>
      <xdr:row>1</xdr:row>
      <xdr:rowOff>487681</xdr:rowOff>
    </xdr:to>
    <xdr:cxnSp macro="">
      <xdr:nvCxnSpPr>
        <xdr:cNvPr id="40" name="直线连接线 39" descr="&quot;&quot;" title="导航按钮阴影"/>
        <xdr:cNvCxnSpPr/>
      </xdr:nvCxnSpPr>
      <xdr:spPr>
        <a:xfrm flipH="1">
          <a:off x="123827" y="1125855"/>
          <a:ext cx="9231628" cy="1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951139</xdr:colOff>
      <xdr:row>1</xdr:row>
      <xdr:rowOff>142875</xdr:rowOff>
    </xdr:from>
    <xdr:to>
      <xdr:col>3</xdr:col>
      <xdr:colOff>440872</xdr:colOff>
      <xdr:row>1</xdr:row>
      <xdr:rowOff>495299</xdr:rowOff>
    </xdr:to>
    <xdr:sp macro="" textlink="">
      <xdr:nvSpPr>
        <xdr:cNvPr id="4" name="学期工作" descr="&quot;&quot;" title="“学期工作”导航按钮">
          <a:hlinkClick xmlns:r="http://schemas.openxmlformats.org/officeDocument/2006/relationships" r:id="rId1" tooltip="单击查看或编辑学期工作"/>
        </xdr:cNvPr>
        <xdr:cNvSpPr/>
      </xdr:nvSpPr>
      <xdr:spPr>
        <a:xfrm>
          <a:off x="1951264" y="781050"/>
          <a:ext cx="1851933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 baseline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工作输入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3</xdr:col>
      <xdr:colOff>440872</xdr:colOff>
      <xdr:row>1</xdr:row>
      <xdr:rowOff>142875</xdr:rowOff>
    </xdr:from>
    <xdr:to>
      <xdr:col>5</xdr:col>
      <xdr:colOff>63953</xdr:colOff>
      <xdr:row>1</xdr:row>
      <xdr:rowOff>495299</xdr:rowOff>
    </xdr:to>
    <xdr:sp macro="" textlink="">
      <xdr:nvSpPr>
        <xdr:cNvPr id="5" name="每周日程安排" descr="&quot;&quot;" title="“每周日程安排”导航按钮">
          <a:hlinkClick xmlns:r="http://schemas.openxmlformats.org/officeDocument/2006/relationships" r:id="rId2" tooltip="单击查看或编辑每周日程安排"/>
        </xdr:cNvPr>
        <xdr:cNvSpPr/>
      </xdr:nvSpPr>
      <xdr:spPr>
        <a:xfrm>
          <a:off x="3803197" y="781050"/>
          <a:ext cx="1842406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每周日程安排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5</xdr:col>
      <xdr:colOff>67355</xdr:colOff>
      <xdr:row>1</xdr:row>
      <xdr:rowOff>142875</xdr:rowOff>
    </xdr:from>
    <xdr:to>
      <xdr:col>7</xdr:col>
      <xdr:colOff>420460</xdr:colOff>
      <xdr:row>1</xdr:row>
      <xdr:rowOff>495299</xdr:rowOff>
    </xdr:to>
    <xdr:sp macro="" textlink="">
      <xdr:nvSpPr>
        <xdr:cNvPr id="6" name="作业到期" descr="&quot;&quot;" title="“作业到期”导航按钮">
          <a:hlinkClick xmlns:r="http://schemas.openxmlformats.org/officeDocument/2006/relationships" r:id="rId3" tooltip="单击查看到期作业"/>
        </xdr:cNvPr>
        <xdr:cNvSpPr/>
      </xdr:nvSpPr>
      <xdr:spPr>
        <a:xfrm>
          <a:off x="5649005" y="781050"/>
          <a:ext cx="1848530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作业到期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7</xdr:col>
      <xdr:colOff>423863</xdr:colOff>
      <xdr:row>1</xdr:row>
      <xdr:rowOff>142875</xdr:rowOff>
    </xdr:from>
    <xdr:to>
      <xdr:col>9</xdr:col>
      <xdr:colOff>600756</xdr:colOff>
      <xdr:row>1</xdr:row>
      <xdr:rowOff>495299</xdr:rowOff>
    </xdr:to>
    <xdr:sp macro="" textlink="">
      <xdr:nvSpPr>
        <xdr:cNvPr id="7" name="学期日程安排" descr="&quot;&quot;" title="“学期日程安排”导航按钮">
          <a:hlinkClick xmlns:r="http://schemas.openxmlformats.org/officeDocument/2006/relationships" r:id="rId4" tooltip="单击查看学期日程安排"/>
        </xdr:cNvPr>
        <xdr:cNvSpPr/>
      </xdr:nvSpPr>
      <xdr:spPr>
        <a:xfrm>
          <a:off x="7500938" y="781050"/>
          <a:ext cx="1843768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学期日程安排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1</xdr:col>
      <xdr:colOff>0</xdr:colOff>
      <xdr:row>1</xdr:row>
      <xdr:rowOff>142875</xdr:rowOff>
    </xdr:from>
    <xdr:to>
      <xdr:col>2</xdr:col>
      <xdr:colOff>951139</xdr:colOff>
      <xdr:row>2</xdr:row>
      <xdr:rowOff>161925</xdr:rowOff>
    </xdr:to>
    <xdr:grpSp>
      <xdr:nvGrpSpPr>
        <xdr:cNvPr id="8" name="课程列表" descr="&quot;&quot;" title="课程列表”导航按钮">
          <a:hlinkClick xmlns:r="http://schemas.openxmlformats.org/officeDocument/2006/relationships" r:id="rId5" tooltip="Click to view Class List"/>
        </xdr:cNvPr>
        <xdr:cNvGrpSpPr/>
      </xdr:nvGrpSpPr>
      <xdr:grpSpPr>
        <a:xfrm>
          <a:off x="114300" y="781050"/>
          <a:ext cx="1836964" cy="514350"/>
          <a:chOff x="114300" y="781050"/>
          <a:chExt cx="1836964" cy="514350"/>
        </a:xfrm>
      </xdr:grpSpPr>
      <xdr:sp macro="" textlink="">
        <xdr:nvSpPr>
          <xdr:cNvPr id="33" name="等腰三角形 32" descr="&quot;&quot;" title="标注插图"/>
          <xdr:cNvSpPr/>
        </xdr:nvSpPr>
        <xdr:spPr>
          <a:xfrm flipV="1">
            <a:off x="895350" y="1114425"/>
            <a:ext cx="228600" cy="180975"/>
          </a:xfrm>
          <a:prstGeom prst="triangle">
            <a:avLst/>
          </a:prstGeom>
          <a:solidFill>
            <a:schemeClr val="bg1"/>
          </a:solidFill>
          <a:ln w="9525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课程列表" descr="&quot;&quot;" title="“课程列表”导航按钮">
            <a:hlinkClick xmlns:r="http://schemas.openxmlformats.org/officeDocument/2006/relationships" r:id="rId6" tooltip="单击查看“课程列表”"/>
          </xdr:cNvPr>
          <xdr:cNvSpPr/>
        </xdr:nvSpPr>
        <xdr:spPr>
          <a:xfrm>
            <a:off x="114300" y="781050"/>
            <a:ext cx="1836964" cy="352424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200" b="1">
                <a:solidFill>
                  <a:schemeClr val="accent1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课程列表</a:t>
            </a:r>
            <a:endParaRPr lang="en-US" sz="1200" b="1">
              <a:solidFill>
                <a:schemeClr val="accent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 fPrintsWithSheet="0"/>
  </xdr:twoCellAnchor>
  <xdr:twoCellAnchor>
    <xdr:from>
      <xdr:col>2</xdr:col>
      <xdr:colOff>952500</xdr:colOff>
      <xdr:row>1</xdr:row>
      <xdr:rowOff>204263</xdr:rowOff>
    </xdr:from>
    <xdr:to>
      <xdr:col>2</xdr:col>
      <xdr:colOff>952502</xdr:colOff>
      <xdr:row>1</xdr:row>
      <xdr:rowOff>430482</xdr:rowOff>
    </xdr:to>
    <xdr:cxnSp macro="">
      <xdr:nvCxnSpPr>
        <xdr:cNvPr id="11" name="直线连接线 10" descr="&quot;&quot;" title="按钮分隔符"/>
        <xdr:cNvCxnSpPr/>
      </xdr:nvCxnSpPr>
      <xdr:spPr>
        <a:xfrm>
          <a:off x="1952625" y="842438"/>
          <a:ext cx="2" cy="226219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435788</xdr:colOff>
      <xdr:row>1</xdr:row>
      <xdr:rowOff>210973</xdr:rowOff>
    </xdr:from>
    <xdr:to>
      <xdr:col>3</xdr:col>
      <xdr:colOff>435790</xdr:colOff>
      <xdr:row>1</xdr:row>
      <xdr:rowOff>437193</xdr:rowOff>
    </xdr:to>
    <xdr:cxnSp macro="">
      <xdr:nvCxnSpPr>
        <xdr:cNvPr id="24" name="直线连接线 23" descr="&quot;&quot;" title="按钮分隔符"/>
        <xdr:cNvCxnSpPr/>
      </xdr:nvCxnSpPr>
      <xdr:spPr>
        <a:xfrm>
          <a:off x="3798113" y="849148"/>
          <a:ext cx="2" cy="22622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5</xdr:col>
      <xdr:colOff>68450</xdr:colOff>
      <xdr:row>1</xdr:row>
      <xdr:rowOff>210680</xdr:rowOff>
    </xdr:from>
    <xdr:to>
      <xdr:col>5</xdr:col>
      <xdr:colOff>68452</xdr:colOff>
      <xdr:row>1</xdr:row>
      <xdr:rowOff>436900</xdr:rowOff>
    </xdr:to>
    <xdr:cxnSp macro="">
      <xdr:nvCxnSpPr>
        <xdr:cNvPr id="31" name="直线连接线 30" descr="&quot;&quot;" title="按钮分隔符"/>
        <xdr:cNvCxnSpPr/>
      </xdr:nvCxnSpPr>
      <xdr:spPr>
        <a:xfrm>
          <a:off x="5650100" y="848855"/>
          <a:ext cx="2" cy="22622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7</xdr:col>
      <xdr:colOff>421037</xdr:colOff>
      <xdr:row>1</xdr:row>
      <xdr:rowOff>210680</xdr:rowOff>
    </xdr:from>
    <xdr:to>
      <xdr:col>7</xdr:col>
      <xdr:colOff>421039</xdr:colOff>
      <xdr:row>1</xdr:row>
      <xdr:rowOff>436900</xdr:rowOff>
    </xdr:to>
    <xdr:cxnSp macro="">
      <xdr:nvCxnSpPr>
        <xdr:cNvPr id="32" name="直线连接线 31" descr="&quot;&quot;" title="按钮分隔符"/>
        <xdr:cNvCxnSpPr/>
      </xdr:nvCxnSpPr>
      <xdr:spPr>
        <a:xfrm>
          <a:off x="7498112" y="848855"/>
          <a:ext cx="2" cy="22622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9</xdr:col>
      <xdr:colOff>597354</xdr:colOff>
      <xdr:row>1</xdr:row>
      <xdr:rowOff>204108</xdr:rowOff>
    </xdr:from>
    <xdr:to>
      <xdr:col>9</xdr:col>
      <xdr:colOff>597356</xdr:colOff>
      <xdr:row>1</xdr:row>
      <xdr:rowOff>430327</xdr:rowOff>
    </xdr:to>
    <xdr:cxnSp macro="">
      <xdr:nvCxnSpPr>
        <xdr:cNvPr id="34" name="直线连接线 33" descr="&quot;&quot;" title="按钮分隔符"/>
        <xdr:cNvCxnSpPr/>
      </xdr:nvCxnSpPr>
      <xdr:spPr>
        <a:xfrm>
          <a:off x="9341304" y="842283"/>
          <a:ext cx="2" cy="226219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139700" dist="38100" sx="200000" sy="200000" algn="tl" rotWithShape="0">
            <a:schemeClr val="bg1"/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28576</xdr:colOff>
      <xdr:row>12</xdr:row>
      <xdr:rowOff>180975</xdr:rowOff>
    </xdr:from>
    <xdr:to>
      <xdr:col>2</xdr:col>
      <xdr:colOff>1247775</xdr:colOff>
      <xdr:row>17</xdr:row>
      <xdr:rowOff>104774</xdr:rowOff>
    </xdr:to>
    <xdr:sp macro="" textlink="">
      <xdr:nvSpPr>
        <xdr:cNvPr id="43" name="提示" descr="在上表中输入您的各门课程。将为您计算课程持续时间。" title="课程列表提示"/>
        <xdr:cNvSpPr/>
      </xdr:nvSpPr>
      <xdr:spPr>
        <a:xfrm>
          <a:off x="142876" y="2886075"/>
          <a:ext cx="2105024" cy="1066799"/>
        </a:xfrm>
        <a:prstGeom prst="wedgeRectCallout">
          <a:avLst>
            <a:gd name="adj1" fmla="val -20319"/>
            <a:gd name="adj2" fmla="val -63996"/>
          </a:avLst>
        </a:prstGeom>
        <a:solidFill>
          <a:schemeClr val="bg1"/>
        </a:solidFill>
        <a:ln w="1905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 b="1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课程列表：</a:t>
          </a:r>
          <a:endParaRPr lang="en-US" sz="1000" b="1" i="1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  <a:p>
          <a:pPr algn="l"/>
          <a:endParaRPr lang="en-US" sz="1000" i="1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  <a:p>
          <a:pPr algn="l"/>
          <a:r>
            <a:rPr lang="zh-CN" altLang="en-US" sz="1000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在上表中输入您的各门课程。将为您计算课程持续时间。</a:t>
          </a:r>
          <a:endParaRPr lang="en-US" sz="1000" i="1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</xdr:colOff>
      <xdr:row>2</xdr:row>
      <xdr:rowOff>0</xdr:rowOff>
    </xdr:from>
    <xdr:to>
      <xdr:col>5</xdr:col>
      <xdr:colOff>1263412</xdr:colOff>
      <xdr:row>2</xdr:row>
      <xdr:rowOff>1</xdr:rowOff>
    </xdr:to>
    <xdr:cxnSp macro="">
      <xdr:nvCxnSpPr>
        <xdr:cNvPr id="3" name="直线连接线 2" descr="&quot;&quot;" title="按钮分隔符"/>
        <xdr:cNvCxnSpPr/>
      </xdr:nvCxnSpPr>
      <xdr:spPr>
        <a:xfrm flipH="1">
          <a:off x="114302" y="1133475"/>
          <a:ext cx="6178310" cy="1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177800" sx="200000" sy="2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2</xdr:colOff>
      <xdr:row>1</xdr:row>
      <xdr:rowOff>487681</xdr:rowOff>
    </xdr:from>
    <xdr:to>
      <xdr:col>9</xdr:col>
      <xdr:colOff>94332</xdr:colOff>
      <xdr:row>1</xdr:row>
      <xdr:rowOff>487681</xdr:rowOff>
    </xdr:to>
    <xdr:cxnSp macro="">
      <xdr:nvCxnSpPr>
        <xdr:cNvPr id="5" name="直线连接线 4" descr="&quot;&quot;" title="按钮分隔符"/>
        <xdr:cNvCxnSpPr/>
      </xdr:nvCxnSpPr>
      <xdr:spPr>
        <a:xfrm flipH="1" flipV="1">
          <a:off x="114302" y="1125856"/>
          <a:ext cx="9162130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155122</xdr:colOff>
      <xdr:row>1</xdr:row>
      <xdr:rowOff>142875</xdr:rowOff>
    </xdr:from>
    <xdr:to>
      <xdr:col>5</xdr:col>
      <xdr:colOff>616403</xdr:colOff>
      <xdr:row>1</xdr:row>
      <xdr:rowOff>495299</xdr:rowOff>
    </xdr:to>
    <xdr:sp macro="" textlink="">
      <xdr:nvSpPr>
        <xdr:cNvPr id="6" name="每周日程安排" descr="&quot;&quot;" title="“每周日程安排”导航按钮">
          <a:hlinkClick xmlns:r="http://schemas.openxmlformats.org/officeDocument/2006/relationships" r:id="rId1" tooltip="单击查看或编辑每周日程安排"/>
        </xdr:cNvPr>
        <xdr:cNvSpPr/>
      </xdr:nvSpPr>
      <xdr:spPr>
        <a:xfrm>
          <a:off x="3803197" y="781050"/>
          <a:ext cx="1842406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每周日程安排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2</xdr:col>
      <xdr:colOff>893989</xdr:colOff>
      <xdr:row>1</xdr:row>
      <xdr:rowOff>142875</xdr:rowOff>
    </xdr:from>
    <xdr:to>
      <xdr:col>3</xdr:col>
      <xdr:colOff>155122</xdr:colOff>
      <xdr:row>2</xdr:row>
      <xdr:rowOff>104775</xdr:rowOff>
    </xdr:to>
    <xdr:grpSp>
      <xdr:nvGrpSpPr>
        <xdr:cNvPr id="16" name="学期工作" descr="&quot;&quot;" title="学期工作">
          <a:hlinkClick xmlns:r="http://schemas.openxmlformats.org/officeDocument/2006/relationships" r:id="rId2" tooltip="单击查看或编辑学期工作"/>
        </xdr:cNvPr>
        <xdr:cNvGrpSpPr/>
      </xdr:nvGrpSpPr>
      <xdr:grpSpPr>
        <a:xfrm>
          <a:off x="1951264" y="781050"/>
          <a:ext cx="1851933" cy="457200"/>
          <a:chOff x="1951264" y="781050"/>
          <a:chExt cx="1851933" cy="457200"/>
        </a:xfrm>
      </xdr:grpSpPr>
      <xdr:sp macro="" textlink="">
        <xdr:nvSpPr>
          <xdr:cNvPr id="7" name="等腰三角形" descr="&quot;&quot;" title="标注插图"/>
          <xdr:cNvSpPr/>
        </xdr:nvSpPr>
        <xdr:spPr>
          <a:xfrm flipV="1">
            <a:off x="2762250" y="1057275"/>
            <a:ext cx="228600" cy="180975"/>
          </a:xfrm>
          <a:prstGeom prst="triangle">
            <a:avLst/>
          </a:prstGeom>
          <a:solidFill>
            <a:schemeClr val="bg1"/>
          </a:solidFill>
          <a:ln w="9525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学期工作" descr="&quot;&quot;" title="“学期工作”导航按钮">
            <a:hlinkClick xmlns:r="http://schemas.openxmlformats.org/officeDocument/2006/relationships" r:id="rId2" tooltip="单击查看或编辑学期工作"/>
          </xdr:cNvPr>
          <xdr:cNvSpPr/>
        </xdr:nvSpPr>
        <xdr:spPr>
          <a:xfrm>
            <a:off x="1951264" y="781050"/>
            <a:ext cx="1851933" cy="352424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200" b="1">
                <a:solidFill>
                  <a:schemeClr val="accent1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工作输入</a:t>
            </a:r>
            <a:endParaRPr lang="en-US" sz="1200" b="1">
              <a:solidFill>
                <a:schemeClr val="accent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 fPrintsWithSheet="0"/>
  </xdr:twoCellAnchor>
  <xdr:twoCellAnchor>
    <xdr:from>
      <xdr:col>5</xdr:col>
      <xdr:colOff>619805</xdr:colOff>
      <xdr:row>1</xdr:row>
      <xdr:rowOff>142875</xdr:rowOff>
    </xdr:from>
    <xdr:to>
      <xdr:col>6</xdr:col>
      <xdr:colOff>544285</xdr:colOff>
      <xdr:row>1</xdr:row>
      <xdr:rowOff>495299</xdr:rowOff>
    </xdr:to>
    <xdr:sp macro="" textlink="">
      <xdr:nvSpPr>
        <xdr:cNvPr id="8" name="作业到期" descr="&quot;&quot;" title="“作业到期”导航按钮">
          <a:hlinkClick xmlns:r="http://schemas.openxmlformats.org/officeDocument/2006/relationships" r:id="rId3" tooltip="单击查看到期作业"/>
        </xdr:cNvPr>
        <xdr:cNvSpPr/>
      </xdr:nvSpPr>
      <xdr:spPr>
        <a:xfrm>
          <a:off x="5649005" y="781050"/>
          <a:ext cx="1848530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作业到期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6</xdr:col>
      <xdr:colOff>547688</xdr:colOff>
      <xdr:row>1</xdr:row>
      <xdr:rowOff>142875</xdr:rowOff>
    </xdr:from>
    <xdr:to>
      <xdr:col>9</xdr:col>
      <xdr:colOff>162606</xdr:colOff>
      <xdr:row>1</xdr:row>
      <xdr:rowOff>495299</xdr:rowOff>
    </xdr:to>
    <xdr:sp macro="" textlink="">
      <xdr:nvSpPr>
        <xdr:cNvPr id="9" name="学期日程安排" descr="&quot;&quot;" title="“学期日程安排”导航按钮">
          <a:hlinkClick xmlns:r="http://schemas.openxmlformats.org/officeDocument/2006/relationships" r:id="rId4" tooltip="单击查看学期日程安排"/>
        </xdr:cNvPr>
        <xdr:cNvSpPr/>
      </xdr:nvSpPr>
      <xdr:spPr>
        <a:xfrm>
          <a:off x="7500938" y="781050"/>
          <a:ext cx="1843768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学期日程安排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1</xdr:col>
      <xdr:colOff>0</xdr:colOff>
      <xdr:row>1</xdr:row>
      <xdr:rowOff>142875</xdr:rowOff>
    </xdr:from>
    <xdr:to>
      <xdr:col>2</xdr:col>
      <xdr:colOff>893989</xdr:colOff>
      <xdr:row>1</xdr:row>
      <xdr:rowOff>495299</xdr:rowOff>
    </xdr:to>
    <xdr:sp macro="" textlink="">
      <xdr:nvSpPr>
        <xdr:cNvPr id="10" name="课程列表" descr="&quot;&quot;" title="“课程列表”导航按钮">
          <a:hlinkClick xmlns:r="http://schemas.openxmlformats.org/officeDocument/2006/relationships" r:id="rId5" tooltip="单击查看“课程列表”"/>
        </xdr:cNvPr>
        <xdr:cNvSpPr/>
      </xdr:nvSpPr>
      <xdr:spPr>
        <a:xfrm>
          <a:off x="114300" y="781050"/>
          <a:ext cx="1836964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课程列表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2</xdr:col>
      <xdr:colOff>895350</xdr:colOff>
      <xdr:row>1</xdr:row>
      <xdr:rowOff>204263</xdr:rowOff>
    </xdr:from>
    <xdr:to>
      <xdr:col>2</xdr:col>
      <xdr:colOff>895352</xdr:colOff>
      <xdr:row>1</xdr:row>
      <xdr:rowOff>430482</xdr:rowOff>
    </xdr:to>
    <xdr:cxnSp macro="">
      <xdr:nvCxnSpPr>
        <xdr:cNvPr id="11" name="直线连接线 10" descr="&quot;&quot;" title="按钮分隔符"/>
        <xdr:cNvCxnSpPr/>
      </xdr:nvCxnSpPr>
      <xdr:spPr>
        <a:xfrm>
          <a:off x="1952625" y="842438"/>
          <a:ext cx="2" cy="226219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150038</xdr:colOff>
      <xdr:row>1</xdr:row>
      <xdr:rowOff>210973</xdr:rowOff>
    </xdr:from>
    <xdr:to>
      <xdr:col>3</xdr:col>
      <xdr:colOff>150040</xdr:colOff>
      <xdr:row>1</xdr:row>
      <xdr:rowOff>437193</xdr:rowOff>
    </xdr:to>
    <xdr:cxnSp macro="">
      <xdr:nvCxnSpPr>
        <xdr:cNvPr id="12" name="直线连接线 11" descr="&quot;&quot;" title="按钮分隔符"/>
        <xdr:cNvCxnSpPr/>
      </xdr:nvCxnSpPr>
      <xdr:spPr>
        <a:xfrm>
          <a:off x="3798113" y="849148"/>
          <a:ext cx="2" cy="22622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5</xdr:col>
      <xdr:colOff>620900</xdr:colOff>
      <xdr:row>1</xdr:row>
      <xdr:rowOff>210680</xdr:rowOff>
    </xdr:from>
    <xdr:to>
      <xdr:col>5</xdr:col>
      <xdr:colOff>620902</xdr:colOff>
      <xdr:row>1</xdr:row>
      <xdr:rowOff>436900</xdr:rowOff>
    </xdr:to>
    <xdr:cxnSp macro="">
      <xdr:nvCxnSpPr>
        <xdr:cNvPr id="13" name="直线连接线 12" descr="&quot;&quot;" title="按钮分隔符"/>
        <xdr:cNvCxnSpPr/>
      </xdr:nvCxnSpPr>
      <xdr:spPr>
        <a:xfrm>
          <a:off x="5650100" y="848855"/>
          <a:ext cx="2" cy="22622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6</xdr:col>
      <xdr:colOff>544862</xdr:colOff>
      <xdr:row>1</xdr:row>
      <xdr:rowOff>210680</xdr:rowOff>
    </xdr:from>
    <xdr:to>
      <xdr:col>6</xdr:col>
      <xdr:colOff>544864</xdr:colOff>
      <xdr:row>1</xdr:row>
      <xdr:rowOff>436900</xdr:rowOff>
    </xdr:to>
    <xdr:cxnSp macro="">
      <xdr:nvCxnSpPr>
        <xdr:cNvPr id="14" name="直线连接线 13" descr="&quot;&quot;" title="按钮分隔符"/>
        <xdr:cNvCxnSpPr/>
      </xdr:nvCxnSpPr>
      <xdr:spPr>
        <a:xfrm>
          <a:off x="7498112" y="848855"/>
          <a:ext cx="2" cy="22622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9</xdr:col>
      <xdr:colOff>159204</xdr:colOff>
      <xdr:row>1</xdr:row>
      <xdr:rowOff>204108</xdr:rowOff>
    </xdr:from>
    <xdr:to>
      <xdr:col>9</xdr:col>
      <xdr:colOff>159206</xdr:colOff>
      <xdr:row>1</xdr:row>
      <xdr:rowOff>430327</xdr:rowOff>
    </xdr:to>
    <xdr:cxnSp macro="">
      <xdr:nvCxnSpPr>
        <xdr:cNvPr id="15" name="直线连接线 14" descr="&quot;&quot;" title="按钮分隔符"/>
        <xdr:cNvCxnSpPr/>
      </xdr:nvCxnSpPr>
      <xdr:spPr>
        <a:xfrm>
          <a:off x="9341304" y="842283"/>
          <a:ext cx="2" cy="226219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139700" dist="38100" sx="200000" sy="200000" algn="tl" rotWithShape="0">
            <a:schemeClr val="bg1"/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114299</xdr:colOff>
      <xdr:row>13</xdr:row>
      <xdr:rowOff>76200</xdr:rowOff>
    </xdr:from>
    <xdr:to>
      <xdr:col>2</xdr:col>
      <xdr:colOff>2181225</xdr:colOff>
      <xdr:row>18</xdr:row>
      <xdr:rowOff>95250</xdr:rowOff>
    </xdr:to>
    <xdr:sp macro="" textlink="">
      <xdr:nvSpPr>
        <xdr:cNvPr id="17" name="提示" descr="输入您的所有作业、工作项目、演示文稿等。当您输入到期日期时，它将自动添加到“作业到期报告”工作表和“学期日程安排”工作表中。" title="工作数据输入提示"/>
        <xdr:cNvSpPr/>
      </xdr:nvSpPr>
      <xdr:spPr>
        <a:xfrm>
          <a:off x="228599" y="3009900"/>
          <a:ext cx="3009901" cy="1162050"/>
        </a:xfrm>
        <a:prstGeom prst="wedgeRectCallout">
          <a:avLst>
            <a:gd name="adj1" fmla="val -20319"/>
            <a:gd name="adj2" fmla="val -63996"/>
          </a:avLst>
        </a:prstGeom>
        <a:solidFill>
          <a:schemeClr val="bg1"/>
        </a:solidFill>
        <a:ln w="1905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 b="1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工作数据输入：</a:t>
          </a:r>
          <a:endParaRPr lang="en-US" sz="1000" b="1" i="1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  <a:p>
          <a:pPr algn="l"/>
          <a:endParaRPr lang="en-US" sz="1000" i="1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  <a:p>
          <a:pPr algn="l"/>
          <a:r>
            <a:rPr lang="zh-CN" altLang="en-US" sz="1000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输入您的所有作业、工作项目、演示文稿等。当您输入到期日期时，它将自动添加到“作业到期报告”工作表和“学期日程安排”工作表中。</a:t>
          </a:r>
          <a:endParaRPr lang="en-US" sz="1000" i="1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5</xdr:row>
      <xdr:rowOff>57151</xdr:rowOff>
    </xdr:from>
    <xdr:to>
      <xdr:col>8</xdr:col>
      <xdr:colOff>95250</xdr:colOff>
      <xdr:row>10</xdr:row>
      <xdr:rowOff>19051</xdr:rowOff>
    </xdr:to>
    <xdr:sp macro="" textlink="">
      <xdr:nvSpPr>
        <xdr:cNvPr id="15" name="提示" descr="要更新您的每周日程安排，请右键单击日程安排，然后单击“刷新”。" title="每周日程安排提示"/>
        <xdr:cNvSpPr/>
      </xdr:nvSpPr>
      <xdr:spPr>
        <a:xfrm>
          <a:off x="5210174" y="1238251"/>
          <a:ext cx="2047876" cy="1104900"/>
        </a:xfrm>
        <a:prstGeom prst="wedgeRectCallout">
          <a:avLst>
            <a:gd name="adj1" fmla="val -54843"/>
            <a:gd name="adj2" fmla="val -22539"/>
          </a:avLst>
        </a:prstGeom>
        <a:solidFill>
          <a:srgbClr val="FFFFFF"/>
        </a:solidFill>
        <a:ln w="19050" cap="flat" cmpd="sng" algn="ctr">
          <a:solidFill>
            <a:srgbClr val="2BB0ED"/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000" b="1" i="1">
              <a:solidFill>
                <a:schemeClr val="tx2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Meiryo UI" panose="020B0604030504040204" pitchFamily="34" charset="-128"/>
            </a:rPr>
            <a:t>每周日程安排：</a:t>
          </a:r>
          <a:endParaRPr lang="en-US" sz="1000" i="1">
            <a:solidFill>
              <a:schemeClr val="tx2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Meiryo UI" panose="020B0604030504040204" pitchFamily="34" charset="-128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000" i="1">
              <a:solidFill>
                <a:schemeClr val="tx2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Meiryo UI" panose="020B0604030504040204" pitchFamily="34" charset="-128"/>
            </a:rPr>
            <a:t>要更新您的每周日程安排，请右键单击日程安排，然后单击“刷新”。</a:t>
          </a:r>
          <a:endParaRPr lang="en-US" sz="1000" i="1">
            <a:solidFill>
              <a:schemeClr val="tx2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Meiryo UI" panose="020B0604030504040204" pitchFamily="34" charset="-128"/>
          </a:endParaRPr>
        </a:p>
      </xdr:txBody>
    </xdr:sp>
    <xdr:clientData fPrintsWithSheet="0"/>
  </xdr:twoCellAnchor>
  <xdr:twoCellAnchor>
    <xdr:from>
      <xdr:col>1</xdr:col>
      <xdr:colOff>2</xdr:colOff>
      <xdr:row>2</xdr:row>
      <xdr:rowOff>0</xdr:rowOff>
    </xdr:from>
    <xdr:to>
      <xdr:col>6</xdr:col>
      <xdr:colOff>310912</xdr:colOff>
      <xdr:row>2</xdr:row>
      <xdr:rowOff>1</xdr:rowOff>
    </xdr:to>
    <xdr:cxnSp macro="">
      <xdr:nvCxnSpPr>
        <xdr:cNvPr id="19" name="直线连接线  18" descr="&quot;&quot;" title="按钮分隔符"/>
        <xdr:cNvCxnSpPr/>
      </xdr:nvCxnSpPr>
      <xdr:spPr>
        <a:xfrm flipH="1">
          <a:off x="114302" y="1133475"/>
          <a:ext cx="6178310" cy="1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177800" sx="200000" sy="2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</xdr:colOff>
      <xdr:row>2</xdr:row>
      <xdr:rowOff>1906</xdr:rowOff>
    </xdr:from>
    <xdr:to>
      <xdr:col>11</xdr:col>
      <xdr:colOff>284832</xdr:colOff>
      <xdr:row>2</xdr:row>
      <xdr:rowOff>1906</xdr:rowOff>
    </xdr:to>
    <xdr:cxnSp macro="">
      <xdr:nvCxnSpPr>
        <xdr:cNvPr id="20" name="直线连接线  19" descr="&quot;&quot;" title="按钮分隔符"/>
        <xdr:cNvCxnSpPr/>
      </xdr:nvCxnSpPr>
      <xdr:spPr>
        <a:xfrm flipH="1" flipV="1">
          <a:off x="114302" y="1135381"/>
          <a:ext cx="9162130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764722</xdr:colOff>
      <xdr:row>1</xdr:row>
      <xdr:rowOff>142875</xdr:rowOff>
    </xdr:from>
    <xdr:to>
      <xdr:col>5</xdr:col>
      <xdr:colOff>368753</xdr:colOff>
      <xdr:row>2</xdr:row>
      <xdr:rowOff>104775</xdr:rowOff>
    </xdr:to>
    <xdr:grpSp>
      <xdr:nvGrpSpPr>
        <xdr:cNvPr id="33" name="每周日程安排" descr="&quot;&quot;" title="“每周日程安排”导航按钮"/>
        <xdr:cNvGrpSpPr/>
      </xdr:nvGrpSpPr>
      <xdr:grpSpPr>
        <a:xfrm>
          <a:off x="2974522" y="781050"/>
          <a:ext cx="1147081" cy="457200"/>
          <a:chOff x="3803197" y="781050"/>
          <a:chExt cx="1842406" cy="457200"/>
        </a:xfrm>
      </xdr:grpSpPr>
      <xdr:sp macro="" textlink="">
        <xdr:nvSpPr>
          <xdr:cNvPr id="22" name="等腰三角形 21" descr="&quot;&quot;" title="标注插图"/>
          <xdr:cNvSpPr/>
        </xdr:nvSpPr>
        <xdr:spPr>
          <a:xfrm flipV="1">
            <a:off x="4610100" y="1057275"/>
            <a:ext cx="228600" cy="180975"/>
          </a:xfrm>
          <a:prstGeom prst="triangle">
            <a:avLst/>
          </a:prstGeom>
          <a:solidFill>
            <a:schemeClr val="bg1"/>
          </a:solidFill>
          <a:ln w="9525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每周日程安排" descr="&quot;&quot;" title="“每周日程安排”导航按钮">
            <a:hlinkClick xmlns:r="http://schemas.openxmlformats.org/officeDocument/2006/relationships" r:id="rId1" tooltip="单击查看或编辑每周日程安排"/>
          </xdr:cNvPr>
          <xdr:cNvSpPr/>
        </xdr:nvSpPr>
        <xdr:spPr>
          <a:xfrm>
            <a:off x="3803197" y="781050"/>
            <a:ext cx="1842406" cy="352424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>
                <a:solidFill>
                  <a:schemeClr val="accent1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每周日程安排</a:t>
            </a:r>
            <a:endParaRPr lang="en-US" sz="1100" b="1">
              <a:solidFill>
                <a:schemeClr val="accent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/>
  </xdr:twoCellAnchor>
  <xdr:twoCellAnchor>
    <xdr:from>
      <xdr:col>1</xdr:col>
      <xdr:colOff>1836964</xdr:colOff>
      <xdr:row>1</xdr:row>
      <xdr:rowOff>142875</xdr:rowOff>
    </xdr:from>
    <xdr:to>
      <xdr:col>3</xdr:col>
      <xdr:colOff>764722</xdr:colOff>
      <xdr:row>1</xdr:row>
      <xdr:rowOff>495299</xdr:rowOff>
    </xdr:to>
    <xdr:sp macro="" textlink="">
      <xdr:nvSpPr>
        <xdr:cNvPr id="23" name="学期工作" descr="&quot;&quot;" title="“学期工作”导航按钮">
          <a:hlinkClick xmlns:r="http://schemas.openxmlformats.org/officeDocument/2006/relationships" r:id="rId2" tooltip="单击查看或编辑学期工作"/>
        </xdr:cNvPr>
        <xdr:cNvSpPr/>
      </xdr:nvSpPr>
      <xdr:spPr>
        <a:xfrm>
          <a:off x="1951264" y="781050"/>
          <a:ext cx="1851933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工作输入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5</xdr:col>
      <xdr:colOff>372155</xdr:colOff>
      <xdr:row>1</xdr:row>
      <xdr:rowOff>142875</xdr:rowOff>
    </xdr:from>
    <xdr:to>
      <xdr:col>8</xdr:col>
      <xdr:colOff>334735</xdr:colOff>
      <xdr:row>1</xdr:row>
      <xdr:rowOff>495299</xdr:rowOff>
    </xdr:to>
    <xdr:sp macro="" textlink="">
      <xdr:nvSpPr>
        <xdr:cNvPr id="24" name="作业到期" descr="&quot;&quot;" title="“作业到期”导航按钮">
          <a:hlinkClick xmlns:r="http://schemas.openxmlformats.org/officeDocument/2006/relationships" r:id="rId3" tooltip="单击查看到期作业"/>
        </xdr:cNvPr>
        <xdr:cNvSpPr/>
      </xdr:nvSpPr>
      <xdr:spPr>
        <a:xfrm>
          <a:off x="5649005" y="781050"/>
          <a:ext cx="1848530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作业到期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8</xdr:col>
      <xdr:colOff>338138</xdr:colOff>
      <xdr:row>1</xdr:row>
      <xdr:rowOff>142875</xdr:rowOff>
    </xdr:from>
    <xdr:to>
      <xdr:col>11</xdr:col>
      <xdr:colOff>353106</xdr:colOff>
      <xdr:row>1</xdr:row>
      <xdr:rowOff>495299</xdr:rowOff>
    </xdr:to>
    <xdr:sp macro="" textlink="">
      <xdr:nvSpPr>
        <xdr:cNvPr id="25" name="学期日程安排" descr="&quot;&quot;" title="“学期日程安排”导航按钮">
          <a:hlinkClick xmlns:r="http://schemas.openxmlformats.org/officeDocument/2006/relationships" r:id="rId4" tooltip="单击查看学期日程安排"/>
        </xdr:cNvPr>
        <xdr:cNvSpPr/>
      </xdr:nvSpPr>
      <xdr:spPr>
        <a:xfrm>
          <a:off x="7500938" y="781050"/>
          <a:ext cx="1843768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学期日程安排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1</xdr:col>
      <xdr:colOff>0</xdr:colOff>
      <xdr:row>1</xdr:row>
      <xdr:rowOff>142875</xdr:rowOff>
    </xdr:from>
    <xdr:to>
      <xdr:col>1</xdr:col>
      <xdr:colOff>1836964</xdr:colOff>
      <xdr:row>1</xdr:row>
      <xdr:rowOff>495299</xdr:rowOff>
    </xdr:to>
    <xdr:sp macro="" textlink="">
      <xdr:nvSpPr>
        <xdr:cNvPr id="26" name="课程列表" descr="&quot;&quot;" title="“课程列表”导航按钮">
          <a:hlinkClick xmlns:r="http://schemas.openxmlformats.org/officeDocument/2006/relationships" r:id="rId5" tooltip="单击查看“课程列表”"/>
        </xdr:cNvPr>
        <xdr:cNvSpPr/>
      </xdr:nvSpPr>
      <xdr:spPr>
        <a:xfrm>
          <a:off x="114300" y="781050"/>
          <a:ext cx="1836964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课程列表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>
    <xdr:from>
      <xdr:col>1</xdr:col>
      <xdr:colOff>1838325</xdr:colOff>
      <xdr:row>1</xdr:row>
      <xdr:rowOff>204263</xdr:rowOff>
    </xdr:from>
    <xdr:to>
      <xdr:col>1</xdr:col>
      <xdr:colOff>1838327</xdr:colOff>
      <xdr:row>1</xdr:row>
      <xdr:rowOff>430482</xdr:rowOff>
    </xdr:to>
    <xdr:cxnSp macro="">
      <xdr:nvCxnSpPr>
        <xdr:cNvPr id="27" name="直线连接线  26" descr="&quot;&quot;" title="按钮分隔符"/>
        <xdr:cNvCxnSpPr/>
      </xdr:nvCxnSpPr>
      <xdr:spPr>
        <a:xfrm>
          <a:off x="1952625" y="842438"/>
          <a:ext cx="2" cy="226219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759638</xdr:colOff>
      <xdr:row>1</xdr:row>
      <xdr:rowOff>210973</xdr:rowOff>
    </xdr:from>
    <xdr:to>
      <xdr:col>3</xdr:col>
      <xdr:colOff>759640</xdr:colOff>
      <xdr:row>1</xdr:row>
      <xdr:rowOff>437193</xdr:rowOff>
    </xdr:to>
    <xdr:cxnSp macro="">
      <xdr:nvCxnSpPr>
        <xdr:cNvPr id="28" name="直线连接线  27" descr="&quot;&quot;" title="按钮分隔符"/>
        <xdr:cNvCxnSpPr/>
      </xdr:nvCxnSpPr>
      <xdr:spPr>
        <a:xfrm>
          <a:off x="3798113" y="849148"/>
          <a:ext cx="2" cy="22622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373250</xdr:colOff>
      <xdr:row>1</xdr:row>
      <xdr:rowOff>210680</xdr:rowOff>
    </xdr:from>
    <xdr:to>
      <xdr:col>5</xdr:col>
      <xdr:colOff>373252</xdr:colOff>
      <xdr:row>1</xdr:row>
      <xdr:rowOff>436900</xdr:rowOff>
    </xdr:to>
    <xdr:cxnSp macro="">
      <xdr:nvCxnSpPr>
        <xdr:cNvPr id="29" name="直线连接线  28" descr="&quot;&quot;" title="按钮分隔符"/>
        <xdr:cNvCxnSpPr/>
      </xdr:nvCxnSpPr>
      <xdr:spPr>
        <a:xfrm>
          <a:off x="5650100" y="848855"/>
          <a:ext cx="2" cy="22622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335312</xdr:colOff>
      <xdr:row>1</xdr:row>
      <xdr:rowOff>210680</xdr:rowOff>
    </xdr:from>
    <xdr:to>
      <xdr:col>8</xdr:col>
      <xdr:colOff>335314</xdr:colOff>
      <xdr:row>1</xdr:row>
      <xdr:rowOff>436900</xdr:rowOff>
    </xdr:to>
    <xdr:cxnSp macro="">
      <xdr:nvCxnSpPr>
        <xdr:cNvPr id="30" name="直线连接线  29" descr="&quot;&quot;" title="按钮分隔符"/>
        <xdr:cNvCxnSpPr/>
      </xdr:nvCxnSpPr>
      <xdr:spPr>
        <a:xfrm>
          <a:off x="7498112" y="848855"/>
          <a:ext cx="2" cy="22622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349704</xdr:colOff>
      <xdr:row>1</xdr:row>
      <xdr:rowOff>204108</xdr:rowOff>
    </xdr:from>
    <xdr:to>
      <xdr:col>11</xdr:col>
      <xdr:colOff>349706</xdr:colOff>
      <xdr:row>1</xdr:row>
      <xdr:rowOff>430327</xdr:rowOff>
    </xdr:to>
    <xdr:cxnSp macro="">
      <xdr:nvCxnSpPr>
        <xdr:cNvPr id="31" name="直线连接线  30" descr="&quot;&quot;" title="按钮分隔符"/>
        <xdr:cNvCxnSpPr/>
      </xdr:nvCxnSpPr>
      <xdr:spPr>
        <a:xfrm>
          <a:off x="9341304" y="842283"/>
          <a:ext cx="2" cy="226219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139700" dist="38100" sx="200000" sy="200000" algn="tl" rotWithShape="0">
            <a:schemeClr val="bg1"/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104779</xdr:colOff>
      <xdr:row>1</xdr:row>
      <xdr:rowOff>485775</xdr:rowOff>
    </xdr:from>
    <xdr:to>
      <xdr:col>3</xdr:col>
      <xdr:colOff>2266950</xdr:colOff>
      <xdr:row>2</xdr:row>
      <xdr:rowOff>1</xdr:rowOff>
    </xdr:to>
    <xdr:cxnSp macro="">
      <xdr:nvCxnSpPr>
        <xdr:cNvPr id="3" name="直线连接线  2" descr="&quot;&quot;" title="按钮分隔符"/>
        <xdr:cNvCxnSpPr/>
      </xdr:nvCxnSpPr>
      <xdr:spPr>
        <a:xfrm flipH="1">
          <a:off x="104779" y="1123950"/>
          <a:ext cx="6143621" cy="9526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177800" sx="200000" sy="2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665389</xdr:colOff>
      <xdr:row>1</xdr:row>
      <xdr:rowOff>142875</xdr:rowOff>
    </xdr:from>
    <xdr:to>
      <xdr:col>2</xdr:col>
      <xdr:colOff>2517322</xdr:colOff>
      <xdr:row>1</xdr:row>
      <xdr:rowOff>495299</xdr:rowOff>
    </xdr:to>
    <xdr:sp macro="" textlink="">
      <xdr:nvSpPr>
        <xdr:cNvPr id="4" name="学期工作" descr="&quot;&quot;" title="“学期工作”导航按钮">
          <a:hlinkClick xmlns:r="http://schemas.openxmlformats.org/officeDocument/2006/relationships" r:id="rId1" tooltip="单击查看或编辑学期工作"/>
        </xdr:cNvPr>
        <xdr:cNvSpPr/>
      </xdr:nvSpPr>
      <xdr:spPr>
        <a:xfrm>
          <a:off x="1941739" y="781050"/>
          <a:ext cx="1851933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工作输入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0</xdr:col>
      <xdr:colOff>104779</xdr:colOff>
      <xdr:row>2</xdr:row>
      <xdr:rowOff>0</xdr:rowOff>
    </xdr:from>
    <xdr:to>
      <xdr:col>5</xdr:col>
      <xdr:colOff>123825</xdr:colOff>
      <xdr:row>2</xdr:row>
      <xdr:rowOff>1907</xdr:rowOff>
    </xdr:to>
    <xdr:cxnSp macro="">
      <xdr:nvCxnSpPr>
        <xdr:cNvPr id="5" name="直线连接线  4" descr="&quot;&quot;" title="按钮分隔符"/>
        <xdr:cNvCxnSpPr/>
      </xdr:nvCxnSpPr>
      <xdr:spPr>
        <a:xfrm flipH="1">
          <a:off x="104779" y="1133475"/>
          <a:ext cx="9239246" cy="1907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2517322</xdr:colOff>
      <xdr:row>1</xdr:row>
      <xdr:rowOff>142875</xdr:rowOff>
    </xdr:from>
    <xdr:to>
      <xdr:col>3</xdr:col>
      <xdr:colOff>1654628</xdr:colOff>
      <xdr:row>1</xdr:row>
      <xdr:rowOff>495299</xdr:rowOff>
    </xdr:to>
    <xdr:sp macro="" textlink="">
      <xdr:nvSpPr>
        <xdr:cNvPr id="6" name="每周日程安排" descr="&quot;&quot;" title="“每周日程安排”导航按钮">
          <a:hlinkClick xmlns:r="http://schemas.openxmlformats.org/officeDocument/2006/relationships" r:id="rId2" tooltip="单击查看或编辑每周日程安排"/>
        </xdr:cNvPr>
        <xdr:cNvSpPr/>
      </xdr:nvSpPr>
      <xdr:spPr>
        <a:xfrm>
          <a:off x="3793672" y="781050"/>
          <a:ext cx="1842406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每周日程安排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3</xdr:col>
      <xdr:colOff>1658030</xdr:colOff>
      <xdr:row>1</xdr:row>
      <xdr:rowOff>142875</xdr:rowOff>
    </xdr:from>
    <xdr:to>
      <xdr:col>4</xdr:col>
      <xdr:colOff>1211035</xdr:colOff>
      <xdr:row>2</xdr:row>
      <xdr:rowOff>104775</xdr:rowOff>
    </xdr:to>
    <xdr:grpSp>
      <xdr:nvGrpSpPr>
        <xdr:cNvPr id="16" name="作业到期" descr="&quot;&quot;" title="“作业到期”导航按钮"/>
        <xdr:cNvGrpSpPr/>
      </xdr:nvGrpSpPr>
      <xdr:grpSpPr>
        <a:xfrm>
          <a:off x="5639480" y="781050"/>
          <a:ext cx="1848530" cy="457200"/>
          <a:chOff x="5639480" y="781050"/>
          <a:chExt cx="1848530" cy="457200"/>
        </a:xfrm>
      </xdr:grpSpPr>
      <xdr:sp macro="" textlink="">
        <xdr:nvSpPr>
          <xdr:cNvPr id="7" name="等腰三角形  6" descr="&quot;&quot;" title="标注插图"/>
          <xdr:cNvSpPr/>
        </xdr:nvSpPr>
        <xdr:spPr>
          <a:xfrm flipV="1">
            <a:off x="6448425" y="1057275"/>
            <a:ext cx="228600" cy="180975"/>
          </a:xfrm>
          <a:prstGeom prst="triangle">
            <a:avLst/>
          </a:prstGeom>
          <a:solidFill>
            <a:schemeClr val="bg1"/>
          </a:solidFill>
          <a:ln w="9525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作业到期" descr="&quot;&quot;" title="“作业到期”导航按钮">
            <a:hlinkClick xmlns:r="http://schemas.openxmlformats.org/officeDocument/2006/relationships" r:id="rId3" tooltip="单击查看到期作业"/>
          </xdr:cNvPr>
          <xdr:cNvSpPr/>
        </xdr:nvSpPr>
        <xdr:spPr>
          <a:xfrm>
            <a:off x="5639480" y="781050"/>
            <a:ext cx="1848530" cy="352424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200" b="1">
                <a:solidFill>
                  <a:schemeClr val="accent1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作业到期</a:t>
            </a:r>
            <a:endParaRPr lang="en-US" sz="1200" b="1">
              <a:solidFill>
                <a:schemeClr val="accent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 fPrintsWithSheet="0"/>
  </xdr:twoCellAnchor>
  <xdr:twoCellAnchor>
    <xdr:from>
      <xdr:col>4</xdr:col>
      <xdr:colOff>1214438</xdr:colOff>
      <xdr:row>1</xdr:row>
      <xdr:rowOff>142875</xdr:rowOff>
    </xdr:from>
    <xdr:to>
      <xdr:col>5</xdr:col>
      <xdr:colOff>114981</xdr:colOff>
      <xdr:row>1</xdr:row>
      <xdr:rowOff>495299</xdr:rowOff>
    </xdr:to>
    <xdr:sp macro="" textlink="">
      <xdr:nvSpPr>
        <xdr:cNvPr id="9" name="学期日程安排" descr="&quot;&quot;" title="“学期日程安排”导航按钮">
          <a:hlinkClick xmlns:r="http://schemas.openxmlformats.org/officeDocument/2006/relationships" r:id="rId4" tooltip="单击查看学期日程安排"/>
        </xdr:cNvPr>
        <xdr:cNvSpPr/>
      </xdr:nvSpPr>
      <xdr:spPr>
        <a:xfrm>
          <a:off x="7491413" y="781050"/>
          <a:ext cx="1843768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学期日程安排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0</xdr:col>
      <xdr:colOff>104775</xdr:colOff>
      <xdr:row>1</xdr:row>
      <xdr:rowOff>142875</xdr:rowOff>
    </xdr:from>
    <xdr:to>
      <xdr:col>2</xdr:col>
      <xdr:colOff>665389</xdr:colOff>
      <xdr:row>1</xdr:row>
      <xdr:rowOff>495299</xdr:rowOff>
    </xdr:to>
    <xdr:sp macro="" textlink="">
      <xdr:nvSpPr>
        <xdr:cNvPr id="10" name="课程列表" descr="&quot;&quot;" title="“课程列表”导航按钮">
          <a:hlinkClick xmlns:r="http://schemas.openxmlformats.org/officeDocument/2006/relationships" r:id="rId5" tooltip="单击查看“课程列表”"/>
        </xdr:cNvPr>
        <xdr:cNvSpPr/>
      </xdr:nvSpPr>
      <xdr:spPr>
        <a:xfrm>
          <a:off x="104775" y="781050"/>
          <a:ext cx="1836964" cy="352424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课程列表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2</xdr:col>
      <xdr:colOff>666750</xdr:colOff>
      <xdr:row>1</xdr:row>
      <xdr:rowOff>204263</xdr:rowOff>
    </xdr:from>
    <xdr:to>
      <xdr:col>2</xdr:col>
      <xdr:colOff>666752</xdr:colOff>
      <xdr:row>1</xdr:row>
      <xdr:rowOff>430482</xdr:rowOff>
    </xdr:to>
    <xdr:cxnSp macro="">
      <xdr:nvCxnSpPr>
        <xdr:cNvPr id="11" name="直线连接线 10" descr="&quot;&quot;" title="按钮分隔符"/>
        <xdr:cNvCxnSpPr/>
      </xdr:nvCxnSpPr>
      <xdr:spPr>
        <a:xfrm>
          <a:off x="1943100" y="842438"/>
          <a:ext cx="2" cy="226219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2512238</xdr:colOff>
      <xdr:row>1</xdr:row>
      <xdr:rowOff>210973</xdr:rowOff>
    </xdr:from>
    <xdr:to>
      <xdr:col>2</xdr:col>
      <xdr:colOff>2512240</xdr:colOff>
      <xdr:row>1</xdr:row>
      <xdr:rowOff>437193</xdr:rowOff>
    </xdr:to>
    <xdr:cxnSp macro="">
      <xdr:nvCxnSpPr>
        <xdr:cNvPr id="12" name="直线连接线 11" descr="&quot;&quot;" title="按钮分隔符"/>
        <xdr:cNvCxnSpPr/>
      </xdr:nvCxnSpPr>
      <xdr:spPr>
        <a:xfrm>
          <a:off x="3788588" y="849148"/>
          <a:ext cx="2" cy="22622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1659125</xdr:colOff>
      <xdr:row>1</xdr:row>
      <xdr:rowOff>210680</xdr:rowOff>
    </xdr:from>
    <xdr:to>
      <xdr:col>3</xdr:col>
      <xdr:colOff>1659127</xdr:colOff>
      <xdr:row>1</xdr:row>
      <xdr:rowOff>436900</xdr:rowOff>
    </xdr:to>
    <xdr:cxnSp macro="">
      <xdr:nvCxnSpPr>
        <xdr:cNvPr id="13" name="直线连接线 12" descr="&quot;&quot;" title="按钮分隔符"/>
        <xdr:cNvCxnSpPr/>
      </xdr:nvCxnSpPr>
      <xdr:spPr>
        <a:xfrm>
          <a:off x="5640575" y="848855"/>
          <a:ext cx="2" cy="22622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4</xdr:col>
      <xdr:colOff>1211612</xdr:colOff>
      <xdr:row>1</xdr:row>
      <xdr:rowOff>210680</xdr:rowOff>
    </xdr:from>
    <xdr:to>
      <xdr:col>4</xdr:col>
      <xdr:colOff>1211614</xdr:colOff>
      <xdr:row>1</xdr:row>
      <xdr:rowOff>436900</xdr:rowOff>
    </xdr:to>
    <xdr:cxnSp macro="">
      <xdr:nvCxnSpPr>
        <xdr:cNvPr id="14" name="直线连接线 13" descr="&quot;&quot;" title="按钮分隔符"/>
        <xdr:cNvCxnSpPr/>
      </xdr:nvCxnSpPr>
      <xdr:spPr>
        <a:xfrm>
          <a:off x="7488587" y="848855"/>
          <a:ext cx="2" cy="22622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5</xdr:col>
      <xdr:colOff>111579</xdr:colOff>
      <xdr:row>1</xdr:row>
      <xdr:rowOff>204108</xdr:rowOff>
    </xdr:from>
    <xdr:to>
      <xdr:col>5</xdr:col>
      <xdr:colOff>111581</xdr:colOff>
      <xdr:row>1</xdr:row>
      <xdr:rowOff>430327</xdr:rowOff>
    </xdr:to>
    <xdr:cxnSp macro="">
      <xdr:nvCxnSpPr>
        <xdr:cNvPr id="15" name="直线连接线 14" descr="&quot;&quot;" title="按钮分隔符"/>
        <xdr:cNvCxnSpPr/>
      </xdr:nvCxnSpPr>
      <xdr:spPr>
        <a:xfrm>
          <a:off x="9331779" y="842283"/>
          <a:ext cx="2" cy="226219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139700" dist="38100" sx="200000" sy="200000" algn="tl" rotWithShape="0">
            <a:schemeClr val="bg1"/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5</xdr:col>
      <xdr:colOff>266699</xdr:colOff>
      <xdr:row>1</xdr:row>
      <xdr:rowOff>47625</xdr:rowOff>
    </xdr:from>
    <xdr:to>
      <xdr:col>9</xdr:col>
      <xdr:colOff>190500</xdr:colOff>
      <xdr:row>8</xdr:row>
      <xdr:rowOff>0</xdr:rowOff>
    </xdr:to>
    <xdr:sp macro="" textlink="">
      <xdr:nvSpPr>
        <xdr:cNvPr id="22" name="提示" descr="作业到期：&#10;按日程安排顶部的“到期日期”筛选作业。单击“到期日期”右侧的箭头，指向“日期筛选器”，然后选择筛选器（例如“本周”）。  &#10;&#10;要更新您的作业，请右键单击报告，然后单击“刷新”。&#10;" title="作业到期提示"/>
        <xdr:cNvSpPr/>
      </xdr:nvSpPr>
      <xdr:spPr>
        <a:xfrm>
          <a:off x="9486899" y="685800"/>
          <a:ext cx="2362201" cy="1952625"/>
        </a:xfrm>
        <a:prstGeom prst="wedgeRectCallout">
          <a:avLst>
            <a:gd name="adj1" fmla="val -57002"/>
            <a:gd name="adj2" fmla="val -21139"/>
          </a:avLst>
        </a:prstGeom>
        <a:solidFill>
          <a:schemeClr val="bg1"/>
        </a:solidFill>
        <a:ln w="1905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 b="1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作业到期：</a:t>
          </a:r>
          <a:endParaRPr lang="en-US" sz="1000" b="1" i="1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  <a:p>
          <a:pPr algn="l"/>
          <a:endParaRPr lang="en-US" sz="1000" i="1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  <a:p>
          <a:pPr algn="l"/>
          <a:r>
            <a:rPr lang="zh-CN" altLang="en-US" sz="1000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按日程安排顶部的“到期日期”筛选作业。单击“</a:t>
          </a:r>
          <a:r>
            <a:rPr lang="zh-CN" altLang="en-US" sz="1000" b="1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到期日期</a:t>
          </a:r>
          <a:r>
            <a:rPr lang="zh-CN" altLang="en-US" sz="1000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”右侧的箭头，指向“</a:t>
          </a:r>
          <a:r>
            <a:rPr lang="zh-CN" altLang="en-US" sz="1000" b="1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日期筛选器</a:t>
          </a:r>
          <a:r>
            <a:rPr lang="zh-CN" altLang="en-US" sz="1000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”，然后选择筛选器（例如“</a:t>
          </a:r>
          <a:r>
            <a:rPr lang="zh-CN" altLang="en-US" sz="1000" b="1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本周</a:t>
          </a:r>
          <a:r>
            <a:rPr lang="zh-CN" altLang="en-US" sz="1000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”）。  </a:t>
          </a:r>
        </a:p>
        <a:p>
          <a:pPr algn="l"/>
          <a:r>
            <a:rPr lang="zh-CN" altLang="en-US" sz="1000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要更新您的作业，请右键单击报告，然后单击“</a:t>
          </a:r>
          <a:r>
            <a:rPr lang="zh-CN" altLang="en-US" sz="1000" b="1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刷新</a:t>
          </a:r>
          <a:r>
            <a:rPr lang="zh-CN" altLang="en-US" sz="1000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”。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104778</xdr:colOff>
      <xdr:row>2</xdr:row>
      <xdr:rowOff>2333</xdr:rowOff>
    </xdr:from>
    <xdr:to>
      <xdr:col>15</xdr:col>
      <xdr:colOff>438150</xdr:colOff>
      <xdr:row>2</xdr:row>
      <xdr:rowOff>2334</xdr:rowOff>
    </xdr:to>
    <xdr:cxnSp macro="">
      <xdr:nvCxnSpPr>
        <xdr:cNvPr id="3" name="直线连接线 2" descr="&quot;&quot;" title="按钮分隔符"/>
        <xdr:cNvCxnSpPr/>
      </xdr:nvCxnSpPr>
      <xdr:spPr>
        <a:xfrm flipH="1">
          <a:off x="104778" y="1135808"/>
          <a:ext cx="6115047" cy="1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177800" sx="200000" sy="2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6</xdr:col>
      <xdr:colOff>455839</xdr:colOff>
      <xdr:row>1</xdr:row>
      <xdr:rowOff>152400</xdr:rowOff>
    </xdr:from>
    <xdr:to>
      <xdr:col>10</xdr:col>
      <xdr:colOff>250372</xdr:colOff>
      <xdr:row>2</xdr:row>
      <xdr:rowOff>2332</xdr:rowOff>
    </xdr:to>
    <xdr:sp macro="" textlink="">
      <xdr:nvSpPr>
        <xdr:cNvPr id="4" name="学期工作" descr="&quot;&quot;" title="“学期工作”导航按钮">
          <a:hlinkClick xmlns:r="http://schemas.openxmlformats.org/officeDocument/2006/relationships" r:id="rId1" tooltip="单击查看或编辑学期工作"/>
        </xdr:cNvPr>
        <xdr:cNvSpPr/>
      </xdr:nvSpPr>
      <xdr:spPr>
        <a:xfrm>
          <a:off x="1941739" y="790575"/>
          <a:ext cx="1851933" cy="345232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工作输入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0</xdr:col>
      <xdr:colOff>76203</xdr:colOff>
      <xdr:row>2</xdr:row>
      <xdr:rowOff>2333</xdr:rowOff>
    </xdr:from>
    <xdr:to>
      <xdr:col>21</xdr:col>
      <xdr:colOff>262893</xdr:colOff>
      <xdr:row>2</xdr:row>
      <xdr:rowOff>4201</xdr:rowOff>
    </xdr:to>
    <xdr:cxnSp macro="">
      <xdr:nvCxnSpPr>
        <xdr:cNvPr id="5" name="直线连接线 4" descr="&quot;&quot;" title="按钮分隔符"/>
        <xdr:cNvCxnSpPr/>
      </xdr:nvCxnSpPr>
      <xdr:spPr>
        <a:xfrm flipH="1">
          <a:off x="76203" y="1135808"/>
          <a:ext cx="9235440" cy="1868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10</xdr:col>
      <xdr:colOff>250372</xdr:colOff>
      <xdr:row>1</xdr:row>
      <xdr:rowOff>152400</xdr:rowOff>
    </xdr:from>
    <xdr:to>
      <xdr:col>14</xdr:col>
      <xdr:colOff>368753</xdr:colOff>
      <xdr:row>2</xdr:row>
      <xdr:rowOff>2332</xdr:rowOff>
    </xdr:to>
    <xdr:sp macro="" textlink="">
      <xdr:nvSpPr>
        <xdr:cNvPr id="6" name="每周日程安排" descr="&quot;&quot;" title="“每周日程安排”导航按钮">
          <a:hlinkClick xmlns:r="http://schemas.openxmlformats.org/officeDocument/2006/relationships" r:id="rId2" tooltip="单击查看或编辑每周日程安排"/>
        </xdr:cNvPr>
        <xdr:cNvSpPr/>
      </xdr:nvSpPr>
      <xdr:spPr>
        <a:xfrm>
          <a:off x="3793672" y="790575"/>
          <a:ext cx="1842406" cy="345232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每周日程安排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14</xdr:col>
      <xdr:colOff>372155</xdr:colOff>
      <xdr:row>1</xdr:row>
      <xdr:rowOff>152400</xdr:rowOff>
    </xdr:from>
    <xdr:to>
      <xdr:col>18</xdr:col>
      <xdr:colOff>163285</xdr:colOff>
      <xdr:row>2</xdr:row>
      <xdr:rowOff>2332</xdr:rowOff>
    </xdr:to>
    <xdr:sp macro="" textlink="">
      <xdr:nvSpPr>
        <xdr:cNvPr id="8" name="作业到期" descr="&quot;&quot;" title="“作业到期”导航按钮">
          <a:hlinkClick xmlns:r="http://schemas.openxmlformats.org/officeDocument/2006/relationships" r:id="rId3" tooltip="单击查看到期作业"/>
        </xdr:cNvPr>
        <xdr:cNvSpPr/>
      </xdr:nvSpPr>
      <xdr:spPr>
        <a:xfrm>
          <a:off x="5639480" y="790575"/>
          <a:ext cx="1848530" cy="345232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作业到期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18</xdr:col>
      <xdr:colOff>166688</xdr:colOff>
      <xdr:row>1</xdr:row>
      <xdr:rowOff>152400</xdr:rowOff>
    </xdr:from>
    <xdr:to>
      <xdr:col>21</xdr:col>
      <xdr:colOff>286431</xdr:colOff>
      <xdr:row>2</xdr:row>
      <xdr:rowOff>114300</xdr:rowOff>
    </xdr:to>
    <xdr:grpSp>
      <xdr:nvGrpSpPr>
        <xdr:cNvPr id="17" name="学期日程安排" descr="&quot;&quot;" title="“学期日程安排”导航按钮"/>
        <xdr:cNvGrpSpPr/>
      </xdr:nvGrpSpPr>
      <xdr:grpSpPr>
        <a:xfrm>
          <a:off x="7491413" y="790575"/>
          <a:ext cx="1843768" cy="457200"/>
          <a:chOff x="7491413" y="790575"/>
          <a:chExt cx="1843768" cy="457200"/>
        </a:xfrm>
      </xdr:grpSpPr>
      <xdr:sp macro="" textlink="">
        <xdr:nvSpPr>
          <xdr:cNvPr id="7" name="等腰三角形  6" descr="&quot;&quot;" title="标注插图"/>
          <xdr:cNvSpPr/>
        </xdr:nvSpPr>
        <xdr:spPr>
          <a:xfrm flipV="1">
            <a:off x="8305800" y="1070493"/>
            <a:ext cx="228600" cy="177282"/>
          </a:xfrm>
          <a:prstGeom prst="triangle">
            <a:avLst/>
          </a:prstGeom>
          <a:solidFill>
            <a:schemeClr val="bg1"/>
          </a:solidFill>
          <a:ln w="9525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学期日程安排" descr="&quot;&quot;" title="“学期日程安排”导航按钮">
            <a:hlinkClick xmlns:r="http://schemas.openxmlformats.org/officeDocument/2006/relationships" r:id="rId4" tooltip="单击查看学期日程安排"/>
          </xdr:cNvPr>
          <xdr:cNvSpPr/>
        </xdr:nvSpPr>
        <xdr:spPr>
          <a:xfrm>
            <a:off x="7491413" y="790575"/>
            <a:ext cx="1843768" cy="345232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200" b="1">
                <a:solidFill>
                  <a:schemeClr val="accent1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学期日程安排</a:t>
            </a:r>
            <a:endParaRPr lang="en-US" sz="1200" b="1">
              <a:solidFill>
                <a:schemeClr val="accent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</xdr:grpSp>
    <xdr:clientData fPrintsWithSheet="0"/>
  </xdr:twoCellAnchor>
  <xdr:twoCellAnchor>
    <xdr:from>
      <xdr:col>0</xdr:col>
      <xdr:colOff>104775</xdr:colOff>
      <xdr:row>1</xdr:row>
      <xdr:rowOff>152400</xdr:rowOff>
    </xdr:from>
    <xdr:to>
      <xdr:col>6</xdr:col>
      <xdr:colOff>455839</xdr:colOff>
      <xdr:row>2</xdr:row>
      <xdr:rowOff>2332</xdr:rowOff>
    </xdr:to>
    <xdr:sp macro="" textlink="">
      <xdr:nvSpPr>
        <xdr:cNvPr id="10" name="课程列表" descr="&quot;&quot;" title="“课程列表”导航按钮">
          <a:hlinkClick xmlns:r="http://schemas.openxmlformats.org/officeDocument/2006/relationships" r:id="rId5" tooltip="单击查看“课程列表”"/>
        </xdr:cNvPr>
        <xdr:cNvSpPr/>
      </xdr:nvSpPr>
      <xdr:spPr>
        <a:xfrm>
          <a:off x="104775" y="790575"/>
          <a:ext cx="1836964" cy="345232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0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课程列表</a:t>
          </a:r>
          <a:endParaRPr lang="en-US" sz="1100" b="0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6</xdr:col>
      <xdr:colOff>457200</xdr:colOff>
      <xdr:row>1</xdr:row>
      <xdr:rowOff>212535</xdr:rowOff>
    </xdr:from>
    <xdr:to>
      <xdr:col>6</xdr:col>
      <xdr:colOff>457202</xdr:colOff>
      <xdr:row>1</xdr:row>
      <xdr:rowOff>434137</xdr:rowOff>
    </xdr:to>
    <xdr:cxnSp macro="">
      <xdr:nvCxnSpPr>
        <xdr:cNvPr id="11" name="直线连接线 10" descr="&quot;&quot;" title="按钮分隔符"/>
        <xdr:cNvCxnSpPr/>
      </xdr:nvCxnSpPr>
      <xdr:spPr>
        <a:xfrm>
          <a:off x="1943100" y="850710"/>
          <a:ext cx="2" cy="221602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10</xdr:col>
      <xdr:colOff>245288</xdr:colOff>
      <xdr:row>1</xdr:row>
      <xdr:rowOff>219108</xdr:rowOff>
    </xdr:from>
    <xdr:to>
      <xdr:col>10</xdr:col>
      <xdr:colOff>245290</xdr:colOff>
      <xdr:row>1</xdr:row>
      <xdr:rowOff>440711</xdr:rowOff>
    </xdr:to>
    <xdr:cxnSp macro="">
      <xdr:nvCxnSpPr>
        <xdr:cNvPr id="12" name="直线连接线 11" descr="&quot;&quot;" title="按钮分隔符"/>
        <xdr:cNvCxnSpPr/>
      </xdr:nvCxnSpPr>
      <xdr:spPr>
        <a:xfrm>
          <a:off x="3788588" y="857283"/>
          <a:ext cx="2" cy="221603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14</xdr:col>
      <xdr:colOff>373250</xdr:colOff>
      <xdr:row>1</xdr:row>
      <xdr:rowOff>218821</xdr:rowOff>
    </xdr:from>
    <xdr:to>
      <xdr:col>14</xdr:col>
      <xdr:colOff>373252</xdr:colOff>
      <xdr:row>1</xdr:row>
      <xdr:rowOff>440424</xdr:rowOff>
    </xdr:to>
    <xdr:cxnSp macro="">
      <xdr:nvCxnSpPr>
        <xdr:cNvPr id="13" name="直线连接线 12" descr="&quot;&quot;" title="按钮分隔符"/>
        <xdr:cNvCxnSpPr/>
      </xdr:nvCxnSpPr>
      <xdr:spPr>
        <a:xfrm>
          <a:off x="5640575" y="856996"/>
          <a:ext cx="2" cy="221603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18</xdr:col>
      <xdr:colOff>163862</xdr:colOff>
      <xdr:row>1</xdr:row>
      <xdr:rowOff>218821</xdr:rowOff>
    </xdr:from>
    <xdr:to>
      <xdr:col>18</xdr:col>
      <xdr:colOff>163864</xdr:colOff>
      <xdr:row>1</xdr:row>
      <xdr:rowOff>440424</xdr:rowOff>
    </xdr:to>
    <xdr:cxnSp macro="">
      <xdr:nvCxnSpPr>
        <xdr:cNvPr id="14" name="直线连接线 13" descr="&quot;&quot;" title="按钮分隔符"/>
        <xdr:cNvCxnSpPr/>
      </xdr:nvCxnSpPr>
      <xdr:spPr>
        <a:xfrm>
          <a:off x="7488587" y="856996"/>
          <a:ext cx="2" cy="221603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21</xdr:col>
      <xdr:colOff>283029</xdr:colOff>
      <xdr:row>1</xdr:row>
      <xdr:rowOff>212383</xdr:rowOff>
    </xdr:from>
    <xdr:to>
      <xdr:col>21</xdr:col>
      <xdr:colOff>283031</xdr:colOff>
      <xdr:row>1</xdr:row>
      <xdr:rowOff>433985</xdr:rowOff>
    </xdr:to>
    <xdr:cxnSp macro="">
      <xdr:nvCxnSpPr>
        <xdr:cNvPr id="15" name="直线连接线 14" descr="&quot;&quot;" title="按钮分隔符"/>
        <xdr:cNvCxnSpPr/>
      </xdr:nvCxnSpPr>
      <xdr:spPr>
        <a:xfrm>
          <a:off x="9331779" y="850558"/>
          <a:ext cx="2" cy="221602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139700" dist="38100" sx="200000" sy="200000" algn="tl" rotWithShape="0">
            <a:schemeClr val="bg1"/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oneCell">
    <xdr:from>
      <xdr:col>21</xdr:col>
      <xdr:colOff>361951</xdr:colOff>
      <xdr:row>5</xdr:row>
      <xdr:rowOff>314326</xdr:rowOff>
    </xdr:from>
    <xdr:to>
      <xdr:col>24</xdr:col>
      <xdr:colOff>485776</xdr:colOff>
      <xdr:row>10</xdr:row>
      <xdr:rowOff>232832</xdr:rowOff>
    </xdr:to>
    <xdr:sp macro="" textlink="">
      <xdr:nvSpPr>
        <xdr:cNvPr id="16" name="提示" descr="输入年、开始日期、结束日期以查看为期四个月的日程安排。&#10;在开始日期和结束日期之间，有课的日期会突出显示。有作业到期的日期显示为红色。&#10;" title="学期日程安排："/>
        <xdr:cNvSpPr/>
      </xdr:nvSpPr>
      <xdr:spPr>
        <a:xfrm>
          <a:off x="9484784" y="2145243"/>
          <a:ext cx="2226734" cy="1770589"/>
        </a:xfrm>
        <a:prstGeom prst="wedgeRectCallout">
          <a:avLst>
            <a:gd name="adj1" fmla="val -57356"/>
            <a:gd name="adj2" fmla="val -21018"/>
          </a:avLst>
        </a:prstGeom>
        <a:solidFill>
          <a:schemeClr val="bg1"/>
        </a:solidFill>
        <a:ln w="1905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 b="1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学期日程安排：</a:t>
          </a:r>
          <a:endParaRPr lang="en-US" sz="1000" b="1" i="1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  <a:p>
          <a:pPr algn="l"/>
          <a:endParaRPr lang="en-US" sz="1000" i="1">
            <a:solidFill>
              <a:schemeClr val="tx2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  <a:p>
          <a:pPr algn="l"/>
          <a:r>
            <a:rPr lang="zh-CN" altLang="en-US" sz="1000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输入年、开始日期、结束日期以查看为期四个月的日程安排。</a:t>
          </a:r>
        </a:p>
        <a:p>
          <a:pPr algn="l"/>
          <a:r>
            <a:rPr lang="zh-CN" altLang="en-US" sz="1000" i="1">
              <a:solidFill>
                <a:schemeClr val="tx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在开始日期和结束日期之间，有课的日期会突出显示。有作业到期的日期显示为红色。</a:t>
          </a:r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King" refreshedDate="42505.634610185189" createdVersion="5" refreshedVersion="6" minRefreshableVersion="3" recordCount="8">
  <cacheSource type="worksheet">
    <worksheetSource name="tblWork"/>
  </cacheSource>
  <cacheFields count="6">
    <cacheField name="课程 ID" numFmtId="0">
      <sharedItems count="2">
        <s v="CS 120"/>
        <s v="WR121"/>
      </sharedItems>
    </cacheField>
    <cacheField name="名称" numFmtId="0">
      <sharedItems count="2">
        <s v="计算机应用介绍"/>
        <s v="写作"/>
      </sharedItems>
    </cacheField>
    <cacheField name="年" numFmtId="0">
      <sharedItems containsSemiMixedTypes="0" containsString="0" containsNumber="1" containsInteger="1" minValue="2013" maxValue="2013"/>
    </cacheField>
    <cacheField name="学期" numFmtId="0">
      <sharedItems/>
    </cacheField>
    <cacheField name="项目描述" numFmtId="0">
      <sharedItems count="6">
        <s v="作业 2"/>
        <s v="演示文稿 1"/>
        <s v="测验 1"/>
        <s v="作业 1"/>
        <s v="作业 3"/>
        <s v="作业 4"/>
      </sharedItems>
    </cacheField>
    <cacheField name="到期日" numFmtId="179">
      <sharedItems containsSemiMixedTypes="0" containsNonDate="0" containsDate="1" containsString="0" minDate="2013-01-14T00:00:00" maxDate="2013-04-29T00:00:00" count="8">
        <d v="2013-02-27T00:00:00"/>
        <d v="2013-02-03T00:00:00"/>
        <d v="2013-03-08T00:00:00"/>
        <d v="2013-04-28T00:00:00"/>
        <d v="2013-01-14T00:00:00"/>
        <d v="2013-03-21T00:00:00"/>
        <d v="2013-02-04T00:00:00"/>
        <d v="2013-04-07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ing" refreshedDate="42505.634611458336" createdVersion="5" refreshedVersion="6" minRefreshableVersion="3" recordCount="7">
  <cacheSource type="worksheet">
    <worksheetSource name="tblClassList"/>
  </cacheSource>
  <cacheFields count="9">
    <cacheField name="课程 ID" numFmtId="0">
      <sharedItems/>
    </cacheField>
    <cacheField name="名称" numFmtId="0">
      <sharedItems count="4">
        <s v="计算机应用介绍"/>
        <s v="写作"/>
        <s v="演讲"/>
        <s v="基础心理学"/>
      </sharedItems>
    </cacheField>
    <cacheField name="讲师" numFmtId="0">
      <sharedItems/>
    </cacheField>
    <cacheField name="天" numFmtId="0">
      <sharedItems count="4">
        <s v="星期一"/>
        <s v="星期三"/>
        <s v="星期二"/>
        <s v="星期四"/>
      </sharedItems>
    </cacheField>
    <cacheField name="年" numFmtId="0">
      <sharedItems containsSemiMixedTypes="0" containsString="0" containsNumber="1" containsInteger="1" minValue="2013" maxValue="2013"/>
    </cacheField>
    <cacheField name="学期" numFmtId="0">
      <sharedItems/>
    </cacheField>
    <cacheField name="开始时间" numFmtId="20">
      <sharedItems containsSemiMixedTypes="0" containsNonDate="0" containsDate="1" containsString="0" minDate="1899-12-30T10:00:00" maxDate="1899-12-30T14:00:00" count="3">
        <d v="1899-12-30T14:00:00"/>
        <d v="1899-12-30T10:00:00"/>
        <d v="1899-12-30T11:00:00"/>
      </sharedItems>
    </cacheField>
    <cacheField name="结束时间" numFmtId="20">
      <sharedItems containsSemiMixedTypes="0" containsNonDate="0" containsDate="1" containsString="0" minDate="1899-12-30T11:00:00" maxDate="1899-12-30T15:30:00"/>
    </cacheField>
    <cacheField name="持续时间" numFmtId="20">
      <sharedItems containsSemiMixedTypes="0" containsNonDate="0" containsDate="1" containsString="0" minDate="1899-12-30T01:00:00" maxDate="1899-12-30T01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x v="0"/>
    <n v="2013"/>
    <s v="春节"/>
    <x v="0"/>
    <x v="0"/>
  </r>
  <r>
    <x v="0"/>
    <x v="0"/>
    <n v="2013"/>
    <s v="春节"/>
    <x v="1"/>
    <x v="1"/>
  </r>
  <r>
    <x v="0"/>
    <x v="0"/>
    <n v="2013"/>
    <s v="春节"/>
    <x v="2"/>
    <x v="2"/>
  </r>
  <r>
    <x v="1"/>
    <x v="1"/>
    <n v="2013"/>
    <s v="春节"/>
    <x v="3"/>
    <x v="3"/>
  </r>
  <r>
    <x v="1"/>
    <x v="1"/>
    <n v="2013"/>
    <s v="春节"/>
    <x v="2"/>
    <x v="4"/>
  </r>
  <r>
    <x v="1"/>
    <x v="1"/>
    <n v="2013"/>
    <s v="春节"/>
    <x v="0"/>
    <x v="5"/>
  </r>
  <r>
    <x v="1"/>
    <x v="1"/>
    <n v="2013"/>
    <s v="春节"/>
    <x v="4"/>
    <x v="6"/>
  </r>
  <r>
    <x v="1"/>
    <x v="1"/>
    <n v="2013"/>
    <s v="春节"/>
    <x v="5"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s v="CS 120"/>
    <x v="0"/>
    <s v="李儒林"/>
    <x v="0"/>
    <n v="2013"/>
    <s v="春季"/>
    <x v="0"/>
    <d v="1899-12-30T15:30:00"/>
    <d v="1899-12-30T01:30:00"/>
  </r>
  <r>
    <s v="CS 120"/>
    <x v="0"/>
    <s v="李儒林"/>
    <x v="1"/>
    <n v="2013"/>
    <s v="春季"/>
    <x v="0"/>
    <d v="1899-12-30T15:30:00"/>
    <d v="1899-12-30T01:30:00"/>
  </r>
  <r>
    <s v="WR121"/>
    <x v="1"/>
    <s v="何向辉"/>
    <x v="2"/>
    <n v="2013"/>
    <s v="春季"/>
    <x v="1"/>
    <d v="1899-12-30T11:30:00"/>
    <d v="1899-12-30T01:30:00"/>
  </r>
  <r>
    <s v="WR121"/>
    <x v="1"/>
    <s v="何向辉"/>
    <x v="3"/>
    <n v="2013"/>
    <s v="春季"/>
    <x v="1"/>
    <d v="1899-12-30T11:30:00"/>
    <d v="1899-12-30T01:30:00"/>
  </r>
  <r>
    <s v="SP 111"/>
    <x v="2"/>
    <s v="徐灵俊"/>
    <x v="0"/>
    <n v="2013"/>
    <s v="春季"/>
    <x v="2"/>
    <d v="1899-12-30T12:00:00"/>
    <d v="1899-12-30T01:00:00"/>
  </r>
  <r>
    <s v="SP 111"/>
    <x v="2"/>
    <s v="徐灵俊"/>
    <x v="1"/>
    <n v="2013"/>
    <s v="春季"/>
    <x v="2"/>
    <d v="1899-12-30T12:00:00"/>
    <d v="1899-12-30T01:00:00"/>
  </r>
  <r>
    <s v="PSY 101"/>
    <x v="3"/>
    <s v="郭爱明"/>
    <x v="0"/>
    <n v="2013"/>
    <s v="春季"/>
    <x v="1"/>
    <d v="1899-12-30T11:00:00"/>
    <d v="1899-12-30T01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每周日程安排" cacheId="2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fieldPrintTitles="1" itemPrintTitles="1" createdVersion="5" indent="0" compact="0" compactData="0" multipleFieldFilters="0">
  <location ref="B4:D11" firstHeaderRow="1" firstDataRow="1" firstDataCol="3"/>
  <pivotFields count="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8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3"/>
    <field x="6"/>
    <field x="1"/>
  </rowFields>
  <rowItems count="7">
    <i>
      <x/>
      <x/>
      <x/>
    </i>
    <i r="1">
      <x v="1"/>
      <x v="3"/>
    </i>
    <i r="1">
      <x v="2"/>
      <x v="1"/>
    </i>
    <i>
      <x v="1"/>
      <x/>
      <x v="2"/>
    </i>
    <i>
      <x v="2"/>
      <x v="1"/>
      <x v="3"/>
    </i>
    <i r="1">
      <x v="2"/>
      <x v="1"/>
    </i>
    <i>
      <x v="3"/>
      <x/>
      <x v="2"/>
    </i>
  </rowItems>
  <colItems count="1">
    <i/>
  </colItems>
  <formats count="6">
    <format dxfId="24">
      <pivotArea dataOnly="0" labelOnly="1" outline="0" fieldPosition="0">
        <references count="1">
          <reference field="6" count="0"/>
        </references>
      </pivotArea>
    </format>
    <format dxfId="23">
      <pivotArea dataOnly="0" labelOnly="1" outline="0" fieldPosition="0">
        <references count="2">
          <reference field="3" count="1" selected="0">
            <x v="0"/>
          </reference>
          <reference field="6" count="0"/>
        </references>
      </pivotArea>
    </format>
    <format dxfId="22">
      <pivotArea dataOnly="0" labelOnly="1" outline="0" fieldPosition="0">
        <references count="2">
          <reference field="3" count="1" selected="0">
            <x v="1"/>
          </reference>
          <reference field="6" count="1">
            <x v="0"/>
          </reference>
        </references>
      </pivotArea>
    </format>
    <format dxfId="21">
      <pivotArea dataOnly="0" labelOnly="1" outline="0" fieldPosition="0">
        <references count="2">
          <reference field="3" count="1" selected="0">
            <x v="2"/>
          </reference>
          <reference field="6" count="2">
            <x v="1"/>
            <x v="2"/>
          </reference>
        </references>
      </pivotArea>
    </format>
    <format dxfId="20">
      <pivotArea dataOnly="0" labelOnly="1" outline="0" fieldPosition="0">
        <references count="2">
          <reference field="3" count="1" selected="0">
            <x v="3"/>
          </reference>
          <reference field="6" count="1">
            <x v="0"/>
          </reference>
        </references>
      </pivotArea>
    </format>
    <format dxfId="19">
      <pivotArea dataOnly="0" labelOnly="1" outline="0" fieldPosition="0">
        <references count="1">
          <reference field="1" count="0"/>
        </references>
      </pivotArea>
    </format>
  </formats>
  <pivotTableStyleInfo name="学期计划一览数据透视表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altText="每周日程安排" altTextSummary="课程列表和以天为单位列出的开始时间。" hideValuesRow="1"/>
    </ext>
  </extLst>
</pivotTableDefinition>
</file>

<file path=xl/pivotTables/pivotTable2.xml><?xml version="1.0" encoding="utf-8"?>
<pivotTableDefinition xmlns="http://schemas.openxmlformats.org/spreadsheetml/2006/main" name="ptblAssignmentsDue" cacheId="17" applyNumberFormats="0" applyBorderFormats="0" applyFontFormats="0" applyPatternFormats="0" applyAlignmentFormats="0" applyWidthHeightFormats="1" dataCaption="Values" updatedVersion="6" minRefreshableVersion="3" showDrill="0" rowGrandTotals="0" fieldPrintTitles="1" itemPrintTitles="1" createdVersion="4" indent="0" compact="0" compactData="0">
  <location ref="B4:E12" firstHeaderRow="1" firstDataRow="1" firstDataCol="4"/>
  <pivotFields count="6"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x="2"/>
        <item x="1"/>
        <item x="3"/>
        <item x="0"/>
        <item x="4"/>
        <item x="5"/>
      </items>
    </pivotField>
    <pivotField axis="axisRow" compact="0" numFmtId="179" outline="0" showAll="0" defaultSubtotal="0">
      <items count="8">
        <item x="4"/>
        <item x="1"/>
        <item x="6"/>
        <item x="0"/>
        <item x="2"/>
        <item x="5"/>
        <item x="7"/>
        <item x="3"/>
      </items>
    </pivotField>
  </pivotFields>
  <rowFields count="4">
    <field x="0"/>
    <field x="1"/>
    <field x="4"/>
    <field x="5"/>
  </rowFields>
  <rowItems count="8">
    <i>
      <x/>
      <x/>
      <x/>
      <x v="4"/>
    </i>
    <i r="2">
      <x v="1"/>
      <x v="1"/>
    </i>
    <i r="2">
      <x v="3"/>
      <x v="3"/>
    </i>
    <i>
      <x v="1"/>
      <x v="1"/>
      <x/>
      <x/>
    </i>
    <i r="2">
      <x v="2"/>
      <x v="7"/>
    </i>
    <i r="2">
      <x v="3"/>
      <x v="5"/>
    </i>
    <i r="2">
      <x v="4"/>
      <x v="2"/>
    </i>
    <i r="2">
      <x v="5"/>
      <x v="6"/>
    </i>
  </rowItems>
  <colItems count="1">
    <i/>
  </colItems>
  <formats count="2">
    <format dxfId="17">
      <pivotArea type="all" dataOnly="0" outline="0" fieldPosition="0"/>
    </format>
    <format dxfId="16">
      <pivotArea dataOnly="0" labelOnly="1" outline="0" fieldPosition="0">
        <references count="1">
          <reference field="5" count="0"/>
        </references>
      </pivotArea>
    </format>
  </formats>
  <pivotTableStyleInfo name="学期计划一览数据透视表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作业到期报告" altTextSummary="显示按课程划分的作业和到期日期。要更新数据透视表上的此信息，请右键单击数据透视表，然后单击“刷新”。" hideValuesRow="1"/>
    </ext>
  </extLst>
</pivotTableDefinition>
</file>

<file path=xl/tables/table1.xml><?xml version="1.0" encoding="utf-8"?>
<table xmlns="http://schemas.openxmlformats.org/spreadsheetml/2006/main" id="1" name="tblClassList" displayName="tblClassList" ref="B4:J11" totalsRowShown="0" headerRowDxfId="43" dataDxfId="42">
  <tableColumns count="9">
    <tableColumn id="1" name="课程 ID" dataDxfId="41"/>
    <tableColumn id="2" name="名称" dataDxfId="40"/>
    <tableColumn id="3" name="讲师" dataDxfId="39"/>
    <tableColumn id="4" name="天" dataDxfId="38"/>
    <tableColumn id="5" name="年" dataDxfId="37"/>
    <tableColumn id="6" name="学期" dataDxfId="36"/>
    <tableColumn id="7" name="开始时间" dataDxfId="35"/>
    <tableColumn id="8" name="结束时间" dataDxfId="34"/>
    <tableColumn id="9" name="持续时间" dataDxfId="33">
      <calculatedColumnFormula>IF(AND(ISNUMBER(tblClassList[[#This Row],[结束时间]]),ISNUMBER(tblClassList[[#This Row],[开始时间]])),tblClassList[[#This Row],[结束时间]]-tblClassList[[#This Row],[开始时间]],"")</calculatedColumnFormula>
    </tableColumn>
  </tableColumns>
  <tableStyleInfo name="Semester at a Glance" showFirstColumn="0" showLastColumn="0" showRowStripes="1" showColumnStripes="0"/>
  <extLst>
    <ext xmlns:x14="http://schemas.microsoft.com/office/spreadsheetml/2009/9/main" uri="{504A1905-F514-4f6f-8877-14C23A59335A}">
      <x14:table altText="课程列表" altTextSummary="有关课程 ID、名称、讲师、天、年、学期、开始时间、结束时间和计算的持续时间的课程信息列表。"/>
    </ext>
  </extLst>
</table>
</file>

<file path=xl/tables/table2.xml><?xml version="1.0" encoding="utf-8"?>
<table xmlns="http://schemas.openxmlformats.org/spreadsheetml/2006/main" id="2" name="tblWork" displayName="tblWork" ref="B4:G12" totalsRowShown="0" headerRowDxfId="32" dataDxfId="31">
  <autoFilter ref="B4:G12"/>
  <tableColumns count="6">
    <tableColumn id="1" name="课程 ID" dataDxfId="30"/>
    <tableColumn id="6" name="名称" dataDxfId="29">
      <calculatedColumnFormula>VLOOKUP(tblWork[[#This Row],[课程 ID]],tblClassList[#Data],2,0)</calculatedColumnFormula>
    </tableColumn>
    <tableColumn id="2" name="年" dataDxfId="28"/>
    <tableColumn id="3" name="学期" dataDxfId="27"/>
    <tableColumn id="4" name="项目描述" dataDxfId="26"/>
    <tableColumn id="5" name="到期日" dataDxfId="25"/>
  </tableColumns>
  <tableStyleInfo name="Semester at a Glance" showFirstColumn="0" showLastColumn="0" showRowStripes="1" showColumnStripes="0"/>
  <extLst>
    <ext xmlns:x14="http://schemas.microsoft.com/office/spreadsheetml/2009/9/main" uri="{504A1905-F514-4f6f-8877-14C23A59335A}">
      <x14:table altText="工作数据输入" altTextSummary="有关作业、考试、演示文稿等以及年、学期、项目描述、到期日的列表。"/>
    </ext>
  </extLst>
</table>
</file>

<file path=xl/theme/theme1.xml><?xml version="1.0" encoding="utf-8"?>
<a:theme xmlns:a="http://schemas.openxmlformats.org/drawingml/2006/main" name="Office Theme">
  <a:themeElements>
    <a:clrScheme name="Semester at a Glance">
      <a:dk1>
        <a:srgbClr val="000000"/>
      </a:dk1>
      <a:lt1>
        <a:srgbClr val="FFFFFF"/>
      </a:lt1>
      <a:dk2>
        <a:srgbClr val="616668"/>
      </a:dk2>
      <a:lt2>
        <a:srgbClr val="F8F8F9"/>
      </a:lt2>
      <a:accent1>
        <a:srgbClr val="DE3800"/>
      </a:accent1>
      <a:accent2>
        <a:srgbClr val="2BB0ED"/>
      </a:accent2>
      <a:accent3>
        <a:srgbClr val="FF9F17"/>
      </a:accent3>
      <a:accent4>
        <a:srgbClr val="17BD97"/>
      </a:accent4>
      <a:accent5>
        <a:srgbClr val="8B7CBD"/>
      </a:accent5>
      <a:accent6>
        <a:srgbClr val="F5C700"/>
      </a:accent6>
      <a:hlink>
        <a:srgbClr val="2BB0ED"/>
      </a:hlink>
      <a:folHlink>
        <a:srgbClr val="DE3800"/>
      </a:folHlink>
    </a:clrScheme>
    <a:fontScheme name="Semester at a Glance">
      <a:majorFont>
        <a:latin typeface="Corbel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9050">
          <a:solidFill>
            <a:schemeClr val="accent2"/>
          </a:solidFill>
        </a:ln>
      </a:spPr>
      <a:bodyPr vertOverflow="clip" horzOverflow="clip" rtlCol="0" anchor="ctr"/>
      <a:lstStyle>
        <a:defPPr algn="l">
          <a:defRPr sz="1100" b="1" i="1">
            <a:solidFill>
              <a:schemeClr val="tx2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499984740745262"/>
    <pageSetUpPr autoPageBreaks="0" fitToPage="1"/>
  </sheetPr>
  <dimension ref="B1:J12"/>
  <sheetViews>
    <sheetView showGridLines="0" tabSelected="1" zoomScaleNormal="100" workbookViewId="0"/>
  </sheetViews>
  <sheetFormatPr defaultRowHeight="18" customHeight="1" x14ac:dyDescent="0.2"/>
  <cols>
    <col min="1" max="1" width="1.7109375" style="6" customWidth="1"/>
    <col min="2" max="2" width="13.28515625" style="6" customWidth="1"/>
    <col min="3" max="3" width="35.42578125" style="6" customWidth="1"/>
    <col min="4" max="4" width="19.5703125" style="6" customWidth="1"/>
    <col min="5" max="5" width="13.7109375" style="6" customWidth="1"/>
    <col min="6" max="6" width="10" style="6" customWidth="1"/>
    <col min="7" max="7" width="12.42578125" style="6" customWidth="1"/>
    <col min="8" max="8" width="13.42578125" style="6" customWidth="1"/>
    <col min="9" max="9" width="11.5703125" style="6" customWidth="1"/>
    <col min="10" max="10" width="12.28515625" style="6" customWidth="1"/>
    <col min="11" max="16384" width="9.140625" style="6"/>
  </cols>
  <sheetData>
    <row r="1" spans="2:10" ht="50.25" customHeight="1" x14ac:dyDescent="0.55000000000000004">
      <c r="B1" s="5" t="s">
        <v>3</v>
      </c>
    </row>
    <row r="2" spans="2:10" ht="39" customHeight="1" x14ac:dyDescent="0.2"/>
    <row r="3" spans="2:10" ht="24.75" customHeight="1" x14ac:dyDescent="0.2"/>
    <row r="4" spans="2:10" ht="18" customHeight="1" x14ac:dyDescent="0.2">
      <c r="B4" s="7" t="s">
        <v>4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7" t="s">
        <v>12</v>
      </c>
    </row>
    <row r="5" spans="2:10" ht="18" customHeight="1" x14ac:dyDescent="0.2">
      <c r="B5" s="8" t="s">
        <v>0</v>
      </c>
      <c r="C5" s="8" t="s">
        <v>13</v>
      </c>
      <c r="D5" s="8" t="s">
        <v>14</v>
      </c>
      <c r="E5" s="8" t="s">
        <v>15</v>
      </c>
      <c r="F5" s="8">
        <v>2013</v>
      </c>
      <c r="G5" s="8" t="s">
        <v>16</v>
      </c>
      <c r="H5" s="9">
        <v>0.58333333333333337</v>
      </c>
      <c r="I5" s="9">
        <v>0.64583333333333337</v>
      </c>
      <c r="J5" s="9">
        <f>IF(AND(ISNUMBER(tblClassList[[#This Row],[结束时间]]),ISNUMBER(tblClassList[[#This Row],[开始时间]])),tblClassList[[#This Row],[结束时间]]-tblClassList[[#This Row],[开始时间]],"")</f>
        <v>6.25E-2</v>
      </c>
    </row>
    <row r="6" spans="2:10" ht="18" customHeight="1" x14ac:dyDescent="0.2">
      <c r="B6" s="8" t="s">
        <v>0</v>
      </c>
      <c r="C6" s="8" t="s">
        <v>13</v>
      </c>
      <c r="D6" s="8" t="s">
        <v>14</v>
      </c>
      <c r="E6" s="8" t="s">
        <v>17</v>
      </c>
      <c r="F6" s="8">
        <v>2013</v>
      </c>
      <c r="G6" s="8" t="s">
        <v>16</v>
      </c>
      <c r="H6" s="9">
        <v>0.58333333333333337</v>
      </c>
      <c r="I6" s="9">
        <v>0.64583333333333337</v>
      </c>
      <c r="J6" s="9">
        <f>IF(AND(ISNUMBER(tblClassList[[#This Row],[结束时间]]),ISNUMBER(tblClassList[[#This Row],[开始时间]])),tblClassList[[#This Row],[结束时间]]-tblClassList[[#This Row],[开始时间]],"")</f>
        <v>6.25E-2</v>
      </c>
    </row>
    <row r="7" spans="2:10" ht="18" customHeight="1" x14ac:dyDescent="0.2">
      <c r="B7" s="8" t="s">
        <v>18</v>
      </c>
      <c r="C7" s="8" t="s">
        <v>19</v>
      </c>
      <c r="D7" s="8" t="s">
        <v>20</v>
      </c>
      <c r="E7" s="8" t="s">
        <v>21</v>
      </c>
      <c r="F7" s="8">
        <v>2013</v>
      </c>
      <c r="G7" s="8" t="s">
        <v>16</v>
      </c>
      <c r="H7" s="9">
        <v>0.41666666666666669</v>
      </c>
      <c r="I7" s="9">
        <v>0.47916666666666669</v>
      </c>
      <c r="J7" s="9">
        <f>IF(AND(ISNUMBER(tblClassList[[#This Row],[结束时间]]),ISNUMBER(tblClassList[[#This Row],[开始时间]])),tblClassList[[#This Row],[结束时间]]-tblClassList[[#This Row],[开始时间]],"")</f>
        <v>6.25E-2</v>
      </c>
    </row>
    <row r="8" spans="2:10" ht="18" customHeight="1" x14ac:dyDescent="0.2">
      <c r="B8" s="8" t="s">
        <v>18</v>
      </c>
      <c r="C8" s="8" t="s">
        <v>19</v>
      </c>
      <c r="D8" s="8" t="s">
        <v>20</v>
      </c>
      <c r="E8" s="8" t="s">
        <v>22</v>
      </c>
      <c r="F8" s="8">
        <v>2013</v>
      </c>
      <c r="G8" s="8" t="s">
        <v>16</v>
      </c>
      <c r="H8" s="9">
        <v>0.41666666666666669</v>
      </c>
      <c r="I8" s="9">
        <v>0.47916666666666669</v>
      </c>
      <c r="J8" s="9">
        <f>IF(AND(ISNUMBER(tblClassList[[#This Row],[结束时间]]),ISNUMBER(tblClassList[[#This Row],[开始时间]])),tblClassList[[#This Row],[结束时间]]-tblClassList[[#This Row],[开始时间]],"")</f>
        <v>6.25E-2</v>
      </c>
    </row>
    <row r="9" spans="2:10" ht="18" customHeight="1" x14ac:dyDescent="0.2">
      <c r="B9" s="8" t="s">
        <v>1</v>
      </c>
      <c r="C9" s="8" t="s">
        <v>23</v>
      </c>
      <c r="D9" s="8" t="s">
        <v>24</v>
      </c>
      <c r="E9" s="8" t="s">
        <v>15</v>
      </c>
      <c r="F9" s="8">
        <v>2013</v>
      </c>
      <c r="G9" s="8" t="s">
        <v>16</v>
      </c>
      <c r="H9" s="9">
        <v>0.45833333333333331</v>
      </c>
      <c r="I9" s="9">
        <v>0.5</v>
      </c>
      <c r="J9" s="9">
        <f>IF(AND(ISNUMBER(tblClassList[[#This Row],[结束时间]]),ISNUMBER(tblClassList[[#This Row],[开始时间]])),tblClassList[[#This Row],[结束时间]]-tblClassList[[#This Row],[开始时间]],"")</f>
        <v>4.1666666666666685E-2</v>
      </c>
    </row>
    <row r="10" spans="2:10" ht="18" customHeight="1" x14ac:dyDescent="0.2">
      <c r="B10" s="8" t="s">
        <v>1</v>
      </c>
      <c r="C10" s="8" t="s">
        <v>23</v>
      </c>
      <c r="D10" s="8" t="s">
        <v>24</v>
      </c>
      <c r="E10" s="8" t="s">
        <v>17</v>
      </c>
      <c r="F10" s="8">
        <v>2013</v>
      </c>
      <c r="G10" s="8" t="s">
        <v>16</v>
      </c>
      <c r="H10" s="9">
        <v>0.45833333333333331</v>
      </c>
      <c r="I10" s="9">
        <v>0.5</v>
      </c>
      <c r="J10" s="9">
        <f>IF(AND(ISNUMBER(tblClassList[[#This Row],[结束时间]]),ISNUMBER(tblClassList[[#This Row],[开始时间]])),tblClassList[[#This Row],[结束时间]]-tblClassList[[#This Row],[开始时间]],"")</f>
        <v>4.1666666666666685E-2</v>
      </c>
    </row>
    <row r="11" spans="2:10" ht="18" customHeight="1" x14ac:dyDescent="0.2">
      <c r="B11" s="8" t="s">
        <v>2</v>
      </c>
      <c r="C11" s="8" t="s">
        <v>25</v>
      </c>
      <c r="D11" s="8" t="s">
        <v>26</v>
      </c>
      <c r="E11" s="8" t="s">
        <v>15</v>
      </c>
      <c r="F11" s="8">
        <v>2013</v>
      </c>
      <c r="G11" s="8" t="s">
        <v>16</v>
      </c>
      <c r="H11" s="9">
        <v>0.41666666666666669</v>
      </c>
      <c r="I11" s="9">
        <v>0.45833333333333331</v>
      </c>
      <c r="J11" s="9">
        <f>IF(AND(ISNUMBER(tblClassList[[#This Row],[结束时间]]),ISNUMBER(tblClassList[[#This Row],[开始时间]])),tblClassList[[#This Row],[结束时间]]-tblClassList[[#This Row],[开始时间]],"")</f>
        <v>4.166666666666663E-2</v>
      </c>
    </row>
    <row r="12" spans="2:10" ht="18" customHeight="1" x14ac:dyDescent="0.2">
      <c r="B12" s="10"/>
      <c r="C12" s="10"/>
      <c r="D12" s="10"/>
      <c r="E12" s="10"/>
      <c r="F12" s="10"/>
      <c r="G12" s="10"/>
      <c r="H12" s="10"/>
      <c r="I12" s="10"/>
      <c r="J12" s="10"/>
    </row>
  </sheetData>
  <phoneticPr fontId="4" type="noConversion"/>
  <printOptions horizontalCentered="1"/>
  <pageMargins left="0.25" right="0.25" top="0.75" bottom="0.75" header="0.3" footer="0.3"/>
  <pageSetup scale="76" fitToHeight="0" orientation="landscape" r:id="rId1"/>
  <headerFooter>
    <oddHeader>&amp;L&amp;20&amp;K04+000CLASS LIST</oddHead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  <pageSetUpPr autoPageBreaks="0" fitToPage="1"/>
  </sheetPr>
  <dimension ref="B1:G12"/>
  <sheetViews>
    <sheetView showGridLines="0" zoomScaleNormal="100" workbookViewId="0">
      <selection activeCell="C25" sqref="C25"/>
    </sheetView>
  </sheetViews>
  <sheetFormatPr defaultRowHeight="18" customHeight="1" x14ac:dyDescent="0.2"/>
  <cols>
    <col min="1" max="1" width="1.7109375" style="6" customWidth="1"/>
    <col min="2" max="2" width="14.140625" style="6" customWidth="1"/>
    <col min="3" max="3" width="38.85546875" style="12" customWidth="1"/>
    <col min="4" max="4" width="8" style="6" customWidth="1"/>
    <col min="5" max="5" width="12.7109375" style="6" customWidth="1"/>
    <col min="6" max="6" width="28.85546875" style="6" customWidth="1"/>
    <col min="7" max="7" width="15.140625" style="6" customWidth="1"/>
    <col min="8" max="16384" width="9.140625" style="6"/>
  </cols>
  <sheetData>
    <row r="1" spans="2:7" ht="50.25" customHeight="1" x14ac:dyDescent="0.55000000000000004">
      <c r="B1" s="5" t="s">
        <v>27</v>
      </c>
      <c r="C1" s="6"/>
    </row>
    <row r="2" spans="2:7" ht="39" customHeight="1" x14ac:dyDescent="0.2">
      <c r="C2" s="6"/>
    </row>
    <row r="3" spans="2:7" ht="24.75" customHeight="1" x14ac:dyDescent="0.2">
      <c r="C3" s="6"/>
    </row>
    <row r="4" spans="2:7" ht="18" customHeight="1" x14ac:dyDescent="0.2">
      <c r="B4" s="7" t="s">
        <v>4</v>
      </c>
      <c r="C4" s="7" t="s">
        <v>5</v>
      </c>
      <c r="D4" s="7" t="s">
        <v>8</v>
      </c>
      <c r="E4" s="7" t="s">
        <v>9</v>
      </c>
      <c r="F4" s="7" t="s">
        <v>28</v>
      </c>
      <c r="G4" s="7" t="s">
        <v>29</v>
      </c>
    </row>
    <row r="5" spans="2:7" ht="18" customHeight="1" x14ac:dyDescent="0.2">
      <c r="B5" s="8" t="s">
        <v>0</v>
      </c>
      <c r="C5" s="11" t="str">
        <f>VLOOKUP(tblWork[[#This Row],[课程 ID]],tblClassList[#Data],2,0)</f>
        <v>计算机应用介绍</v>
      </c>
      <c r="D5" s="8">
        <v>2013</v>
      </c>
      <c r="E5" s="8" t="s">
        <v>41</v>
      </c>
      <c r="F5" s="8" t="s">
        <v>30</v>
      </c>
      <c r="G5" s="13">
        <v>41332</v>
      </c>
    </row>
    <row r="6" spans="2:7" ht="18" customHeight="1" x14ac:dyDescent="0.2">
      <c r="B6" s="8" t="s">
        <v>0</v>
      </c>
      <c r="C6" s="11" t="str">
        <f>VLOOKUP(tblWork[[#This Row],[课程 ID]],tblClassList[#Data],2,0)</f>
        <v>计算机应用介绍</v>
      </c>
      <c r="D6" s="8">
        <v>2013</v>
      </c>
      <c r="E6" s="8" t="s">
        <v>41</v>
      </c>
      <c r="F6" s="8" t="s">
        <v>31</v>
      </c>
      <c r="G6" s="13">
        <v>41308</v>
      </c>
    </row>
    <row r="7" spans="2:7" ht="18" customHeight="1" x14ac:dyDescent="0.2">
      <c r="B7" s="8" t="s">
        <v>0</v>
      </c>
      <c r="C7" s="11" t="str">
        <f>VLOOKUP(tblWork[[#This Row],[课程 ID]],tblClassList[#Data],2,0)</f>
        <v>计算机应用介绍</v>
      </c>
      <c r="D7" s="8">
        <v>2013</v>
      </c>
      <c r="E7" s="8" t="s">
        <v>41</v>
      </c>
      <c r="F7" s="8" t="s">
        <v>32</v>
      </c>
      <c r="G7" s="13">
        <v>41341</v>
      </c>
    </row>
    <row r="8" spans="2:7" ht="18" customHeight="1" x14ac:dyDescent="0.2">
      <c r="B8" s="8" t="s">
        <v>18</v>
      </c>
      <c r="C8" s="11" t="str">
        <f>VLOOKUP(tblWork[[#This Row],[课程 ID]],tblClassList[#Data],2,0)</f>
        <v>写作</v>
      </c>
      <c r="D8" s="8">
        <v>2013</v>
      </c>
      <c r="E8" s="8" t="s">
        <v>41</v>
      </c>
      <c r="F8" s="8" t="s">
        <v>33</v>
      </c>
      <c r="G8" s="13">
        <v>41392</v>
      </c>
    </row>
    <row r="9" spans="2:7" ht="18" customHeight="1" x14ac:dyDescent="0.2">
      <c r="B9" s="8" t="s">
        <v>18</v>
      </c>
      <c r="C9" s="11" t="str">
        <f>VLOOKUP(tblWork[[#This Row],[课程 ID]],tblClassList[#Data],2,0)</f>
        <v>写作</v>
      </c>
      <c r="D9" s="8">
        <v>2013</v>
      </c>
      <c r="E9" s="8" t="s">
        <v>41</v>
      </c>
      <c r="F9" s="8" t="s">
        <v>32</v>
      </c>
      <c r="G9" s="13">
        <v>41288</v>
      </c>
    </row>
    <row r="10" spans="2:7" ht="18" customHeight="1" x14ac:dyDescent="0.2">
      <c r="B10" s="8" t="s">
        <v>18</v>
      </c>
      <c r="C10" s="11" t="str">
        <f>VLOOKUP(tblWork[[#This Row],[课程 ID]],tblClassList[#Data],2,0)</f>
        <v>写作</v>
      </c>
      <c r="D10" s="8">
        <v>2013</v>
      </c>
      <c r="E10" s="8" t="s">
        <v>41</v>
      </c>
      <c r="F10" s="8" t="s">
        <v>30</v>
      </c>
      <c r="G10" s="13">
        <v>41354</v>
      </c>
    </row>
    <row r="11" spans="2:7" ht="18" customHeight="1" x14ac:dyDescent="0.2">
      <c r="B11" s="8" t="s">
        <v>18</v>
      </c>
      <c r="C11" s="11" t="str">
        <f>VLOOKUP(tblWork[[#This Row],[课程 ID]],tblClassList[#Data],2,0)</f>
        <v>写作</v>
      </c>
      <c r="D11" s="8">
        <v>2013</v>
      </c>
      <c r="E11" s="8" t="s">
        <v>41</v>
      </c>
      <c r="F11" s="8" t="s">
        <v>34</v>
      </c>
      <c r="G11" s="13">
        <v>41309</v>
      </c>
    </row>
    <row r="12" spans="2:7" ht="18" customHeight="1" x14ac:dyDescent="0.2">
      <c r="B12" s="8" t="s">
        <v>18</v>
      </c>
      <c r="C12" s="11" t="str">
        <f>VLOOKUP(tblWork[[#This Row],[课程 ID]],tblClassList[#Data],2,0)</f>
        <v>写作</v>
      </c>
      <c r="D12" s="8">
        <v>2013</v>
      </c>
      <c r="E12" s="8" t="s">
        <v>41</v>
      </c>
      <c r="F12" s="8" t="s">
        <v>35</v>
      </c>
      <c r="G12" s="13">
        <v>41371</v>
      </c>
    </row>
  </sheetData>
  <phoneticPr fontId="4" type="noConversion"/>
  <dataValidations count="1">
    <dataValidation type="list" allowBlank="1" showInputMessage="1" showErrorMessage="1" sqref="E5:E12">
      <formula1>"秋季,冬季,春节,夏季"</formula1>
    </dataValidation>
  </dataValidations>
  <printOptions horizontalCentered="1"/>
  <pageMargins left="0.25" right="0.25" top="0.75" bottom="0.75" header="0.3" footer="0.3"/>
  <pageSetup scale="92" fitToHeight="0" orientation="portrait" r:id="rId1"/>
  <headerFooter>
    <oddHeader>&amp;L&amp;20&amp;K04+000SEMESTER WORK</oddHead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39997558519241921"/>
    <pageSetUpPr autoPageBreaks="0" fitToPage="1"/>
  </sheetPr>
  <dimension ref="A1:G32"/>
  <sheetViews>
    <sheetView showGridLines="0" zoomScaleNormal="100" workbookViewId="0">
      <selection activeCell="N17" sqref="N17"/>
    </sheetView>
  </sheetViews>
  <sheetFormatPr defaultRowHeight="18" customHeight="1" x14ac:dyDescent="0.2"/>
  <cols>
    <col min="1" max="1" width="1.7109375" style="3" customWidth="1"/>
    <col min="2" max="2" width="15.28515625" style="2" customWidth="1"/>
    <col min="3" max="3" width="16.140625" style="2" customWidth="1"/>
    <col min="4" max="4" width="15.28515625" style="2" customWidth="1"/>
    <col min="5" max="5" width="7.85546875" style="2" customWidth="1"/>
    <col min="6" max="6" width="10.5703125" style="2" customWidth="1"/>
    <col min="7" max="7" width="8.5703125" style="2" customWidth="1"/>
    <col min="8" max="16384" width="9.140625" style="2"/>
  </cols>
  <sheetData>
    <row r="1" spans="2:7" ht="50.25" customHeight="1" x14ac:dyDescent="0.55000000000000004">
      <c r="B1" s="4" t="s">
        <v>36</v>
      </c>
    </row>
    <row r="2" spans="2:7" ht="39" customHeight="1" x14ac:dyDescent="0.2"/>
    <row r="3" spans="2:7" ht="24.75" customHeight="1" x14ac:dyDescent="0.2"/>
    <row r="4" spans="2:7" ht="18" customHeight="1" x14ac:dyDescent="0.2">
      <c r="B4" s="1" t="s">
        <v>7</v>
      </c>
      <c r="C4" s="1" t="s">
        <v>10</v>
      </c>
      <c r="D4" s="1" t="s">
        <v>5</v>
      </c>
      <c r="E4"/>
      <c r="F4"/>
      <c r="G4"/>
    </row>
    <row r="5" spans="2:7" ht="18.75" x14ac:dyDescent="0.2">
      <c r="B5" t="s">
        <v>15</v>
      </c>
      <c r="C5" s="45">
        <v>0.41666666666666669</v>
      </c>
      <c r="D5" s="17" t="s">
        <v>25</v>
      </c>
      <c r="E5"/>
      <c r="F5"/>
      <c r="G5"/>
    </row>
    <row r="6" spans="2:7" ht="18.75" x14ac:dyDescent="0.2">
      <c r="B6" t="s">
        <v>15</v>
      </c>
      <c r="C6" s="45">
        <v>0.45833333333333331</v>
      </c>
      <c r="D6" s="17" t="s">
        <v>23</v>
      </c>
      <c r="E6"/>
      <c r="F6"/>
      <c r="G6"/>
    </row>
    <row r="7" spans="2:7" ht="18.75" x14ac:dyDescent="0.2">
      <c r="B7" t="s">
        <v>15</v>
      </c>
      <c r="C7" s="45">
        <v>0.58333333333333337</v>
      </c>
      <c r="D7" s="17" t="s">
        <v>13</v>
      </c>
      <c r="E7"/>
      <c r="F7"/>
      <c r="G7"/>
    </row>
    <row r="8" spans="2:7" ht="18.75" x14ac:dyDescent="0.2">
      <c r="B8" t="s">
        <v>21</v>
      </c>
      <c r="C8" s="45">
        <v>0.41666666666666669</v>
      </c>
      <c r="D8" s="17" t="s">
        <v>19</v>
      </c>
      <c r="E8"/>
      <c r="F8"/>
      <c r="G8"/>
    </row>
    <row r="9" spans="2:7" ht="18.75" x14ac:dyDescent="0.2">
      <c r="B9" t="s">
        <v>17</v>
      </c>
      <c r="C9" s="45">
        <v>0.45833333333333331</v>
      </c>
      <c r="D9" s="17" t="s">
        <v>23</v>
      </c>
      <c r="E9"/>
      <c r="F9"/>
      <c r="G9"/>
    </row>
    <row r="10" spans="2:7" ht="18.75" x14ac:dyDescent="0.2">
      <c r="B10" t="s">
        <v>17</v>
      </c>
      <c r="C10" s="45">
        <v>0.58333333333333337</v>
      </c>
      <c r="D10" s="17" t="s">
        <v>13</v>
      </c>
      <c r="E10"/>
      <c r="F10"/>
      <c r="G10"/>
    </row>
    <row r="11" spans="2:7" ht="18.75" x14ac:dyDescent="0.2">
      <c r="B11" t="s">
        <v>22</v>
      </c>
      <c r="C11" s="45">
        <v>0.41666666666666669</v>
      </c>
      <c r="D11" s="17" t="s">
        <v>19</v>
      </c>
      <c r="E11"/>
    </row>
    <row r="12" spans="2:7" ht="18" customHeight="1" x14ac:dyDescent="0.2">
      <c r="B12"/>
      <c r="C12"/>
      <c r="D12"/>
      <c r="E12"/>
    </row>
    <row r="13" spans="2:7" ht="18" customHeight="1" x14ac:dyDescent="0.2">
      <c r="B13"/>
      <c r="C13"/>
      <c r="D13"/>
      <c r="E13"/>
    </row>
    <row r="14" spans="2:7" ht="18" customHeight="1" x14ac:dyDescent="0.2">
      <c r="B14"/>
      <c r="C14"/>
      <c r="D14"/>
      <c r="E14"/>
    </row>
    <row r="15" spans="2:7" ht="18" customHeight="1" x14ac:dyDescent="0.2">
      <c r="B15"/>
      <c r="C15"/>
      <c r="D15"/>
      <c r="E15"/>
    </row>
    <row r="16" spans="2:7" ht="18" customHeight="1" x14ac:dyDescent="0.2">
      <c r="B16"/>
      <c r="C16"/>
      <c r="D16"/>
      <c r="E16"/>
    </row>
    <row r="17" spans="2:5" ht="18" customHeight="1" x14ac:dyDescent="0.2">
      <c r="B17"/>
      <c r="C17"/>
      <c r="D17"/>
      <c r="E17"/>
    </row>
    <row r="18" spans="2:5" ht="18" customHeight="1" x14ac:dyDescent="0.2">
      <c r="B18"/>
      <c r="C18"/>
      <c r="D18"/>
      <c r="E18"/>
    </row>
    <row r="19" spans="2:5" ht="18" customHeight="1" x14ac:dyDescent="0.2">
      <c r="B19"/>
      <c r="C19"/>
      <c r="D19"/>
      <c r="E19"/>
    </row>
    <row r="20" spans="2:5" ht="18" customHeight="1" x14ac:dyDescent="0.2">
      <c r="B20"/>
      <c r="C20"/>
      <c r="D20"/>
      <c r="E20"/>
    </row>
    <row r="21" spans="2:5" ht="18" customHeight="1" x14ac:dyDescent="0.2">
      <c r="B21"/>
      <c r="C21"/>
      <c r="D21"/>
      <c r="E21"/>
    </row>
    <row r="22" spans="2:5" ht="18" customHeight="1" x14ac:dyDescent="0.2">
      <c r="B22"/>
      <c r="C22"/>
      <c r="D22"/>
      <c r="E22"/>
    </row>
    <row r="23" spans="2:5" ht="18" customHeight="1" x14ac:dyDescent="0.2">
      <c r="B23"/>
      <c r="C23"/>
      <c r="D23"/>
      <c r="E23"/>
    </row>
    <row r="24" spans="2:5" ht="18" customHeight="1" x14ac:dyDescent="0.2">
      <c r="B24"/>
      <c r="C24"/>
      <c r="D24"/>
      <c r="E24"/>
    </row>
    <row r="25" spans="2:5" ht="18" customHeight="1" x14ac:dyDescent="0.2">
      <c r="B25"/>
      <c r="C25"/>
      <c r="D25"/>
      <c r="E25"/>
    </row>
    <row r="26" spans="2:5" ht="18" customHeight="1" x14ac:dyDescent="0.2">
      <c r="B26"/>
      <c r="C26"/>
      <c r="D26"/>
      <c r="E26"/>
    </row>
    <row r="27" spans="2:5" ht="18" customHeight="1" x14ac:dyDescent="0.2">
      <c r="B27"/>
      <c r="C27"/>
      <c r="D27"/>
      <c r="E27"/>
    </row>
    <row r="28" spans="2:5" ht="18" customHeight="1" x14ac:dyDescent="0.2">
      <c r="B28"/>
      <c r="C28"/>
      <c r="D28"/>
      <c r="E28"/>
    </row>
    <row r="29" spans="2:5" ht="18" customHeight="1" x14ac:dyDescent="0.2">
      <c r="B29"/>
      <c r="C29"/>
      <c r="D29"/>
      <c r="E29"/>
    </row>
    <row r="30" spans="2:5" ht="18" customHeight="1" x14ac:dyDescent="0.2">
      <c r="B30"/>
      <c r="C30"/>
      <c r="D30"/>
      <c r="E30"/>
    </row>
    <row r="31" spans="2:5" ht="18" customHeight="1" x14ac:dyDescent="0.2">
      <c r="B31"/>
      <c r="C31"/>
      <c r="D31"/>
      <c r="E31"/>
    </row>
    <row r="32" spans="2:5" ht="18" customHeight="1" x14ac:dyDescent="0.2">
      <c r="B32"/>
      <c r="C32"/>
      <c r="D32"/>
      <c r="E32"/>
    </row>
  </sheetData>
  <phoneticPr fontId="4" type="noConversion"/>
  <printOptions horizontalCentered="1"/>
  <pageMargins left="0.7" right="0.7" top="0.75" bottom="0.75" header="0.3" footer="0.3"/>
  <pageSetup fitToHeight="0" orientation="portrait" r:id="rId2"/>
  <headerFooter>
    <oddHeader>&amp;L&amp;20&amp;K04+000WEEKLY SCHEDULE</oddHead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A1:E21"/>
  <sheetViews>
    <sheetView showGridLines="0" workbookViewId="0"/>
  </sheetViews>
  <sheetFormatPr defaultRowHeight="18" customHeight="1" x14ac:dyDescent="0.2"/>
  <cols>
    <col min="1" max="1" width="1.7109375" style="14" customWidth="1"/>
    <col min="2" max="2" width="17.42578125" style="6" customWidth="1"/>
    <col min="3" max="3" width="40.5703125" style="15" customWidth="1"/>
    <col min="4" max="4" width="34.42578125" style="15" customWidth="1"/>
    <col min="5" max="5" width="44.140625" style="16" customWidth="1"/>
    <col min="6" max="16384" width="9.140625" style="6"/>
  </cols>
  <sheetData>
    <row r="1" spans="2:5" ht="50.25" customHeight="1" x14ac:dyDescent="0.55000000000000004">
      <c r="B1" s="5" t="s">
        <v>37</v>
      </c>
    </row>
    <row r="2" spans="2:5" ht="39" customHeight="1" x14ac:dyDescent="0.2"/>
    <row r="3" spans="2:5" ht="24.75" customHeight="1" x14ac:dyDescent="0.2"/>
    <row r="4" spans="2:5" ht="18.75" x14ac:dyDescent="0.2">
      <c r="B4" s="38" t="s">
        <v>4</v>
      </c>
      <c r="C4" s="38" t="s">
        <v>5</v>
      </c>
      <c r="D4" s="38" t="s">
        <v>28</v>
      </c>
      <c r="E4" s="38" t="s">
        <v>29</v>
      </c>
    </row>
    <row r="5" spans="2:5" ht="18.75" x14ac:dyDescent="0.2">
      <c r="B5" s="17" t="s">
        <v>0</v>
      </c>
      <c r="C5" s="17" t="s">
        <v>13</v>
      </c>
      <c r="D5" s="17" t="s">
        <v>32</v>
      </c>
      <c r="E5" s="39">
        <v>41341</v>
      </c>
    </row>
    <row r="6" spans="2:5" ht="18.75" x14ac:dyDescent="0.2">
      <c r="B6" s="17"/>
      <c r="C6" s="17"/>
      <c r="D6" s="17" t="s">
        <v>31</v>
      </c>
      <c r="E6" s="39">
        <v>41308</v>
      </c>
    </row>
    <row r="7" spans="2:5" ht="18.75" x14ac:dyDescent="0.2">
      <c r="B7" s="17"/>
      <c r="C7" s="17"/>
      <c r="D7" s="17" t="s">
        <v>30</v>
      </c>
      <c r="E7" s="39">
        <v>41332</v>
      </c>
    </row>
    <row r="8" spans="2:5" ht="18.75" x14ac:dyDescent="0.2">
      <c r="B8" s="17" t="s">
        <v>18</v>
      </c>
      <c r="C8" s="17" t="s">
        <v>19</v>
      </c>
      <c r="D8" s="17" t="s">
        <v>32</v>
      </c>
      <c r="E8" s="39">
        <v>41288</v>
      </c>
    </row>
    <row r="9" spans="2:5" ht="18.75" x14ac:dyDescent="0.2">
      <c r="B9" s="17"/>
      <c r="C9" s="17"/>
      <c r="D9" s="17" t="s">
        <v>33</v>
      </c>
      <c r="E9" s="39">
        <v>41392</v>
      </c>
    </row>
    <row r="10" spans="2:5" ht="18.75" x14ac:dyDescent="0.2">
      <c r="B10" s="17"/>
      <c r="C10" s="17"/>
      <c r="D10" s="17" t="s">
        <v>30</v>
      </c>
      <c r="E10" s="39">
        <v>41354</v>
      </c>
    </row>
    <row r="11" spans="2:5" ht="18.75" x14ac:dyDescent="0.2">
      <c r="B11" s="17"/>
      <c r="C11" s="17"/>
      <c r="D11" s="17" t="s">
        <v>34</v>
      </c>
      <c r="E11" s="39">
        <v>41309</v>
      </c>
    </row>
    <row r="12" spans="2:5" ht="18.75" x14ac:dyDescent="0.2">
      <c r="B12" s="17"/>
      <c r="C12" s="17"/>
      <c r="D12" s="17" t="s">
        <v>35</v>
      </c>
      <c r="E12" s="39">
        <v>41371</v>
      </c>
    </row>
    <row r="13" spans="2:5" ht="18.75" x14ac:dyDescent="0.2">
      <c r="B13"/>
      <c r="C13"/>
      <c r="D13"/>
    </row>
    <row r="14" spans="2:5" ht="18.75" x14ac:dyDescent="0.2">
      <c r="B14"/>
      <c r="C14"/>
      <c r="D14"/>
    </row>
    <row r="15" spans="2:5" ht="18.75" x14ac:dyDescent="0.2">
      <c r="B15"/>
      <c r="C15"/>
      <c r="D15"/>
    </row>
    <row r="16" spans="2:5" ht="18.75" x14ac:dyDescent="0.2">
      <c r="B16"/>
      <c r="C16"/>
      <c r="D16"/>
    </row>
    <row r="17" spans="2:4" ht="18.75" x14ac:dyDescent="0.2">
      <c r="B17"/>
      <c r="C17"/>
      <c r="D17"/>
    </row>
    <row r="18" spans="2:4" ht="18.75" x14ac:dyDescent="0.2">
      <c r="B18"/>
      <c r="C18"/>
      <c r="D18"/>
    </row>
    <row r="19" spans="2:4" ht="18.75" x14ac:dyDescent="0.2">
      <c r="B19"/>
      <c r="C19"/>
      <c r="D19"/>
    </row>
    <row r="20" spans="2:4" ht="18.75" x14ac:dyDescent="0.2">
      <c r="B20"/>
      <c r="C20"/>
      <c r="D20"/>
    </row>
    <row r="21" spans="2:4" ht="18.75" x14ac:dyDescent="0.2">
      <c r="B21"/>
      <c r="C21"/>
      <c r="D21"/>
    </row>
  </sheetData>
  <phoneticPr fontId="4" type="noConversion"/>
  <conditionalFormatting sqref="C22:E1048576 C1:E4 E5:E21">
    <cfRule type="expression" dxfId="18" priority="1">
      <formula>(ROW()&gt;5)*(MOD(ROW(),2)=0)*(ROW()&lt;=RptLastRow)</formula>
    </cfRule>
  </conditionalFormatting>
  <printOptions horizontalCentered="1"/>
  <pageMargins left="0.7" right="0.7" top="0.75" bottom="0.75" header="0.3" footer="0.3"/>
  <pageSetup scale="70" fitToHeight="0" orientation="landscape" r:id="rId2"/>
  <headerFooter>
    <oddHeader>&amp;L&amp;20&amp;K04+000ASSIGNMENTS DUE REPORT</oddHeader>
  </headerFooter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39997558519241921"/>
    <pageSetUpPr autoPageBreaks="0" fitToPage="1"/>
  </sheetPr>
  <dimension ref="B1:AH25"/>
  <sheetViews>
    <sheetView showGridLines="0" zoomScaleNormal="100" workbookViewId="0">
      <selection activeCell="F5" sqref="F5"/>
    </sheetView>
  </sheetViews>
  <sheetFormatPr defaultRowHeight="24.95" customHeight="1" x14ac:dyDescent="0.2"/>
  <cols>
    <col min="1" max="4" width="1.7109375" style="6" customWidth="1"/>
    <col min="5" max="11" width="7.7109375" style="6" customWidth="1"/>
    <col min="12" max="12" width="2.7109375" style="6" customWidth="1"/>
    <col min="13" max="19" width="7.7109375" style="6" customWidth="1"/>
    <col min="20" max="20" width="1.7109375" style="6" customWidth="1"/>
    <col min="21" max="21" width="16.42578125" style="6" customWidth="1"/>
    <col min="22" max="29" width="10.42578125" style="6" bestFit="1" customWidth="1"/>
    <col min="30" max="34" width="11.7109375" style="6" bestFit="1" customWidth="1"/>
    <col min="35" max="16384" width="9.140625" style="6"/>
  </cols>
  <sheetData>
    <row r="1" spans="2:21" ht="50.25" customHeight="1" x14ac:dyDescent="0.55000000000000004">
      <c r="B1" s="5" t="s">
        <v>38</v>
      </c>
    </row>
    <row r="2" spans="2:21" ht="39" customHeight="1" x14ac:dyDescent="0.2"/>
    <row r="3" spans="2:21" ht="15.75" customHeight="1" x14ac:dyDescent="0.2"/>
    <row r="4" spans="2:21" ht="9.75" customHeight="1" x14ac:dyDescent="0.2">
      <c r="B4" s="18"/>
      <c r="E4" s="19">
        <f>DAY(DATE(YEAR(日程安排开始),MONTH(日程安排开始)+1,1)-1)</f>
        <v>28</v>
      </c>
      <c r="F4" s="20">
        <f>WEEKDAY(DATE(YEAR(日程安排开始),MONTH(日程安排开始),1),1)</f>
        <v>6</v>
      </c>
      <c r="M4" s="19">
        <f>DAY(DATE(YEAR(日程安排开始),MONTH(日程安排开始)+2,1)-1)</f>
        <v>31</v>
      </c>
      <c r="N4" s="20">
        <f>WEEKDAY(DATE(YEAR(日程安排开始),MONTH(日程安排开始)+1,1),1)</f>
        <v>6</v>
      </c>
      <c r="U4" s="17"/>
    </row>
    <row r="5" spans="2:21" ht="29.25" customHeight="1" x14ac:dyDescent="0.2">
      <c r="E5" s="42" t="str">
        <f>UPPER(TEXT(日程安排开始,"M月"))</f>
        <v>2月</v>
      </c>
      <c r="F5" s="43" t="str">
        <f>UPPER(TEXT(日程安排开始,"M"))</f>
        <v>2</v>
      </c>
      <c r="G5" s="22"/>
      <c r="H5" s="22"/>
      <c r="I5" s="22"/>
      <c r="J5" s="22"/>
      <c r="K5" s="22"/>
      <c r="M5" s="21" t="str">
        <f>UPPER(TEXT(DATE(日程安排年,MONTH(日程安排开始)+1,1),"M月"))</f>
        <v>3月</v>
      </c>
      <c r="N5" s="44" t="str">
        <f>UPPER(TEXT(DATE(日程安排年,MONTH(日程安排开始)+1,1),"M"))</f>
        <v>3</v>
      </c>
      <c r="O5" s="22"/>
      <c r="P5" s="22"/>
      <c r="Q5" s="22"/>
      <c r="R5" s="22"/>
      <c r="S5" s="22"/>
      <c r="U5" s="23"/>
    </row>
    <row r="6" spans="2:21" ht="29.25" customHeight="1" x14ac:dyDescent="0.25">
      <c r="E6" s="24" t="s">
        <v>42</v>
      </c>
      <c r="F6" s="25" t="s">
        <v>43</v>
      </c>
      <c r="G6" s="25" t="s">
        <v>44</v>
      </c>
      <c r="H6" s="25" t="s">
        <v>45</v>
      </c>
      <c r="I6" s="25" t="s">
        <v>46</v>
      </c>
      <c r="J6" s="25" t="s">
        <v>47</v>
      </c>
      <c r="K6" s="26" t="s">
        <v>48</v>
      </c>
      <c r="M6" s="24" t="s">
        <v>42</v>
      </c>
      <c r="N6" s="25" t="s">
        <v>43</v>
      </c>
      <c r="O6" s="25" t="s">
        <v>44</v>
      </c>
      <c r="P6" s="25" t="s">
        <v>45</v>
      </c>
      <c r="Q6" s="25" t="s">
        <v>46</v>
      </c>
      <c r="R6" s="25" t="s">
        <v>47</v>
      </c>
      <c r="S6" s="26" t="s">
        <v>48</v>
      </c>
      <c r="U6" s="27" t="s">
        <v>8</v>
      </c>
    </row>
    <row r="7" spans="2:21" ht="29.25" customHeight="1" x14ac:dyDescent="0.2">
      <c r="E7" s="28" t="str">
        <f>IF($F$4=COLUMN(A$3),1,IF(D7&gt;0,D7+1,""))</f>
        <v/>
      </c>
      <c r="F7" s="29" t="str">
        <f t="shared" ref="F7:K7" si="0">IF($F$4=COLUMN(B$3),1,IF(AND(E7&gt;0,E7&lt;&gt;""),E7+1,""))</f>
        <v/>
      </c>
      <c r="G7" s="29" t="str">
        <f t="shared" si="0"/>
        <v/>
      </c>
      <c r="H7" s="29" t="str">
        <f t="shared" si="0"/>
        <v/>
      </c>
      <c r="I7" s="29" t="str">
        <f t="shared" si="0"/>
        <v/>
      </c>
      <c r="J7" s="29">
        <f t="shared" si="0"/>
        <v>1</v>
      </c>
      <c r="K7" s="30">
        <f t="shared" si="0"/>
        <v>2</v>
      </c>
      <c r="M7" s="28" t="str">
        <f>IF($N$4=COLUMN(A$3),1,IF(L7&gt;0,L7+1,""))</f>
        <v/>
      </c>
      <c r="N7" s="29" t="str">
        <f t="shared" ref="N7:S7" si="1">IF($N$4=COLUMN(B$3),1,IF(AND(M7&gt;0,M7&lt;&gt;""),M7+1,""))</f>
        <v/>
      </c>
      <c r="O7" s="29" t="str">
        <f t="shared" si="1"/>
        <v/>
      </c>
      <c r="P7" s="29" t="str">
        <f t="shared" si="1"/>
        <v/>
      </c>
      <c r="Q7" s="29" t="str">
        <f t="shared" si="1"/>
        <v/>
      </c>
      <c r="R7" s="29">
        <f t="shared" si="1"/>
        <v>1</v>
      </c>
      <c r="S7" s="30">
        <f t="shared" si="1"/>
        <v>2</v>
      </c>
      <c r="U7" s="23">
        <v>2013</v>
      </c>
    </row>
    <row r="8" spans="2:21" ht="29.25" customHeight="1" x14ac:dyDescent="0.25">
      <c r="E8" s="31">
        <f>K7+1</f>
        <v>3</v>
      </c>
      <c r="F8" s="32">
        <f>E8+1</f>
        <v>4</v>
      </c>
      <c r="G8" s="32">
        <f t="shared" ref="G8:K8" si="2">F8+1</f>
        <v>5</v>
      </c>
      <c r="H8" s="32">
        <f t="shared" si="2"/>
        <v>6</v>
      </c>
      <c r="I8" s="32">
        <f t="shared" si="2"/>
        <v>7</v>
      </c>
      <c r="J8" s="32">
        <f t="shared" si="2"/>
        <v>8</v>
      </c>
      <c r="K8" s="33">
        <f t="shared" si="2"/>
        <v>9</v>
      </c>
      <c r="M8" s="31">
        <f>S7+1</f>
        <v>3</v>
      </c>
      <c r="N8" s="32">
        <f t="shared" ref="N8:S10" si="3">M8+1</f>
        <v>4</v>
      </c>
      <c r="O8" s="32">
        <f t="shared" si="3"/>
        <v>5</v>
      </c>
      <c r="P8" s="32">
        <f t="shared" si="3"/>
        <v>6</v>
      </c>
      <c r="Q8" s="32">
        <f t="shared" si="3"/>
        <v>7</v>
      </c>
      <c r="R8" s="32">
        <f t="shared" si="3"/>
        <v>8</v>
      </c>
      <c r="S8" s="33">
        <f t="shared" si="3"/>
        <v>9</v>
      </c>
      <c r="U8" s="27" t="s">
        <v>39</v>
      </c>
    </row>
    <row r="9" spans="2:21" ht="29.25" customHeight="1" x14ac:dyDescent="0.2">
      <c r="E9" s="31">
        <f t="shared" ref="E9:E10" si="4">K8+1</f>
        <v>10</v>
      </c>
      <c r="F9" s="32">
        <f t="shared" ref="F9:K9" si="5">E9+1</f>
        <v>11</v>
      </c>
      <c r="G9" s="32">
        <f t="shared" si="5"/>
        <v>12</v>
      </c>
      <c r="H9" s="32">
        <f t="shared" si="5"/>
        <v>13</v>
      </c>
      <c r="I9" s="32">
        <f t="shared" si="5"/>
        <v>14</v>
      </c>
      <c r="J9" s="32">
        <f t="shared" si="5"/>
        <v>15</v>
      </c>
      <c r="K9" s="33">
        <f t="shared" si="5"/>
        <v>16</v>
      </c>
      <c r="M9" s="31">
        <f>S8+1</f>
        <v>10</v>
      </c>
      <c r="N9" s="32">
        <f t="shared" si="3"/>
        <v>11</v>
      </c>
      <c r="O9" s="32">
        <f t="shared" si="3"/>
        <v>12</v>
      </c>
      <c r="P9" s="32">
        <f t="shared" si="3"/>
        <v>13</v>
      </c>
      <c r="Q9" s="32">
        <f t="shared" si="3"/>
        <v>14</v>
      </c>
      <c r="R9" s="32">
        <f t="shared" si="3"/>
        <v>15</v>
      </c>
      <c r="S9" s="33">
        <f t="shared" si="3"/>
        <v>16</v>
      </c>
      <c r="U9" s="40">
        <v>41323</v>
      </c>
    </row>
    <row r="10" spans="2:21" ht="29.25" customHeight="1" x14ac:dyDescent="0.25">
      <c r="E10" s="31">
        <f t="shared" si="4"/>
        <v>17</v>
      </c>
      <c r="F10" s="32">
        <f t="shared" ref="F10:K10" si="6">E10+1</f>
        <v>18</v>
      </c>
      <c r="G10" s="32">
        <f t="shared" si="6"/>
        <v>19</v>
      </c>
      <c r="H10" s="32">
        <f t="shared" si="6"/>
        <v>20</v>
      </c>
      <c r="I10" s="32">
        <f t="shared" si="6"/>
        <v>21</v>
      </c>
      <c r="J10" s="32">
        <f t="shared" si="6"/>
        <v>22</v>
      </c>
      <c r="K10" s="33">
        <f t="shared" si="6"/>
        <v>23</v>
      </c>
      <c r="M10" s="31">
        <f>S9+1</f>
        <v>17</v>
      </c>
      <c r="N10" s="32">
        <f t="shared" si="3"/>
        <v>18</v>
      </c>
      <c r="O10" s="32">
        <f t="shared" si="3"/>
        <v>19</v>
      </c>
      <c r="P10" s="32">
        <f t="shared" si="3"/>
        <v>20</v>
      </c>
      <c r="Q10" s="32">
        <f t="shared" si="3"/>
        <v>21</v>
      </c>
      <c r="R10" s="32">
        <f t="shared" si="3"/>
        <v>22</v>
      </c>
      <c r="S10" s="33">
        <f t="shared" si="3"/>
        <v>23</v>
      </c>
      <c r="U10" s="27" t="s">
        <v>40</v>
      </c>
    </row>
    <row r="11" spans="2:21" ht="29.25" customHeight="1" x14ac:dyDescent="0.2">
      <c r="E11" s="31">
        <f>IFERROR(IF(K10+1&gt;$E$4,"",K10+1),"")</f>
        <v>24</v>
      </c>
      <c r="F11" s="32">
        <f t="shared" ref="F11:K12" si="7">IFERROR(IF(E11+1&gt;$E$4,"",E11+1),"")</f>
        <v>25</v>
      </c>
      <c r="G11" s="32">
        <f t="shared" si="7"/>
        <v>26</v>
      </c>
      <c r="H11" s="32">
        <f t="shared" si="7"/>
        <v>27</v>
      </c>
      <c r="I11" s="32">
        <f t="shared" si="7"/>
        <v>28</v>
      </c>
      <c r="J11" s="32" t="str">
        <f t="shared" si="7"/>
        <v/>
      </c>
      <c r="K11" s="33" t="str">
        <f t="shared" si="7"/>
        <v/>
      </c>
      <c r="M11" s="31">
        <f>IFERROR(IF(S10+1&gt;$M$4,"",S10+1),"")</f>
        <v>24</v>
      </c>
      <c r="N11" s="32">
        <f t="shared" ref="N11:S12" si="8">IFERROR(IF(M11+1&gt;$M$4,"",M11+1),"")</f>
        <v>25</v>
      </c>
      <c r="O11" s="32">
        <f t="shared" si="8"/>
        <v>26</v>
      </c>
      <c r="P11" s="32">
        <f t="shared" si="8"/>
        <v>27</v>
      </c>
      <c r="Q11" s="32">
        <f t="shared" si="8"/>
        <v>28</v>
      </c>
      <c r="R11" s="32">
        <f t="shared" si="8"/>
        <v>29</v>
      </c>
      <c r="S11" s="33">
        <f t="shared" si="8"/>
        <v>30</v>
      </c>
      <c r="U11" s="40">
        <v>41409</v>
      </c>
    </row>
    <row r="12" spans="2:21" ht="29.25" customHeight="1" x14ac:dyDescent="0.2">
      <c r="E12" s="34" t="str">
        <f>IFERROR(IF(K11+1&gt;$E$4,"",K11+1),"")</f>
        <v/>
      </c>
      <c r="F12" s="35" t="str">
        <f t="shared" si="7"/>
        <v/>
      </c>
      <c r="G12" s="35" t="str">
        <f t="shared" si="7"/>
        <v/>
      </c>
      <c r="H12" s="35" t="str">
        <f t="shared" si="7"/>
        <v/>
      </c>
      <c r="I12" s="35" t="str">
        <f t="shared" si="7"/>
        <v/>
      </c>
      <c r="J12" s="35" t="str">
        <f t="shared" si="7"/>
        <v/>
      </c>
      <c r="K12" s="36" t="str">
        <f t="shared" si="7"/>
        <v/>
      </c>
      <c r="M12" s="34">
        <f>IFERROR(IF(S11+1&gt;$M$4,"",S11+1),"")</f>
        <v>31</v>
      </c>
      <c r="N12" s="35" t="str">
        <f t="shared" si="8"/>
        <v/>
      </c>
      <c r="O12" s="35" t="str">
        <f t="shared" si="8"/>
        <v/>
      </c>
      <c r="P12" s="35" t="str">
        <f t="shared" si="8"/>
        <v/>
      </c>
      <c r="Q12" s="35" t="str">
        <f t="shared" si="8"/>
        <v/>
      </c>
      <c r="R12" s="35" t="str">
        <f t="shared" si="8"/>
        <v/>
      </c>
      <c r="S12" s="36" t="str">
        <f t="shared" si="8"/>
        <v/>
      </c>
    </row>
    <row r="13" spans="2:21" ht="29.25" customHeight="1" x14ac:dyDescent="0.2">
      <c r="E13" s="19">
        <f>DAY(DATE(YEAR(日程安排开始),MONTH(日程安排开始)+3,1)-1)</f>
        <v>30</v>
      </c>
      <c r="F13" s="20">
        <f>WEEKDAY(DATE(YEAR(日程安排开始),MONTH(日程安排开始)+2,1),1)</f>
        <v>2</v>
      </c>
      <c r="M13" s="19">
        <f>DAY(DATE(YEAR(日程安排开始),MONTH(日程安排开始)+4,1)-1)</f>
        <v>31</v>
      </c>
      <c r="N13" s="20">
        <f>WEEKDAY(DATE(YEAR(日程安排开始),MONTH(日程安排开始)+3,1),1)</f>
        <v>4</v>
      </c>
    </row>
    <row r="14" spans="2:21" ht="29.25" customHeight="1" x14ac:dyDescent="0.2">
      <c r="E14" s="21" t="str">
        <f>UPPER(TEXT(DATE(日程安排年,MONTH(日程安排开始)+2,1),"M月"))</f>
        <v>4月</v>
      </c>
      <c r="F14" s="44" t="str">
        <f>UPPER(TEXT(DATE(日程安排年,MONTH(日程安排开始)+2,1),"M"))</f>
        <v>4</v>
      </c>
      <c r="G14" s="22"/>
      <c r="H14" s="22"/>
      <c r="I14" s="22"/>
      <c r="J14" s="22"/>
      <c r="K14" s="22"/>
      <c r="M14" s="21" t="str">
        <f>UPPER(TEXT(DATE(日程安排年,MONTH(日程安排开始)+3,1),"M月"))</f>
        <v>5月</v>
      </c>
      <c r="N14" s="44" t="str">
        <f>UPPER(TEXT(DATE(日程安排年,MONTH(日程安排开始)+3,1),"M"))</f>
        <v>5</v>
      </c>
      <c r="O14" s="22"/>
      <c r="P14" s="22"/>
      <c r="Q14" s="22"/>
      <c r="R14" s="22"/>
      <c r="S14" s="22"/>
      <c r="U14" s="22"/>
    </row>
    <row r="15" spans="2:21" ht="29.25" customHeight="1" x14ac:dyDescent="0.2">
      <c r="E15" s="24" t="s">
        <v>42</v>
      </c>
      <c r="F15" s="25" t="s">
        <v>43</v>
      </c>
      <c r="G15" s="25" t="s">
        <v>44</v>
      </c>
      <c r="H15" s="25" t="s">
        <v>45</v>
      </c>
      <c r="I15" s="25" t="s">
        <v>46</v>
      </c>
      <c r="J15" s="25" t="s">
        <v>47</v>
      </c>
      <c r="K15" s="26" t="s">
        <v>48</v>
      </c>
      <c r="M15" s="24" t="s">
        <v>42</v>
      </c>
      <c r="N15" s="25" t="s">
        <v>43</v>
      </c>
      <c r="O15" s="25" t="s">
        <v>44</v>
      </c>
      <c r="P15" s="25" t="s">
        <v>45</v>
      </c>
      <c r="Q15" s="25" t="s">
        <v>46</v>
      </c>
      <c r="R15" s="25" t="s">
        <v>47</v>
      </c>
      <c r="S15" s="26" t="s">
        <v>48</v>
      </c>
    </row>
    <row r="16" spans="2:21" ht="29.25" customHeight="1" x14ac:dyDescent="0.2">
      <c r="E16" s="28" t="str">
        <f>IF($F$13=COLUMN(A$3),1,IF(D16&gt;0,D16+1,""))</f>
        <v/>
      </c>
      <c r="F16" s="29">
        <f t="shared" ref="F16:K16" si="9">IF($F$13=COLUMN(B$3),1,IF(AND(E16&gt;0,E16&lt;&gt;""),E16+1,""))</f>
        <v>1</v>
      </c>
      <c r="G16" s="29">
        <f t="shared" si="9"/>
        <v>2</v>
      </c>
      <c r="H16" s="29">
        <f t="shared" si="9"/>
        <v>3</v>
      </c>
      <c r="I16" s="29">
        <f t="shared" si="9"/>
        <v>4</v>
      </c>
      <c r="J16" s="29">
        <f t="shared" si="9"/>
        <v>5</v>
      </c>
      <c r="K16" s="30">
        <f t="shared" si="9"/>
        <v>6</v>
      </c>
      <c r="M16" s="28" t="str">
        <f>IF($N$13=COLUMN(A$3),1,IF(L16&gt;0,L16+1,""))</f>
        <v/>
      </c>
      <c r="N16" s="29" t="str">
        <f t="shared" ref="N16:S16" si="10">IF($N$13=COLUMN(B$3),1,IF(AND(M16&gt;0,M16&lt;&gt;""),M16+1,""))</f>
        <v/>
      </c>
      <c r="O16" s="29" t="str">
        <f t="shared" si="10"/>
        <v/>
      </c>
      <c r="P16" s="29">
        <f t="shared" si="10"/>
        <v>1</v>
      </c>
      <c r="Q16" s="29">
        <f t="shared" si="10"/>
        <v>2</v>
      </c>
      <c r="R16" s="29">
        <f t="shared" si="10"/>
        <v>3</v>
      </c>
      <c r="S16" s="30">
        <f t="shared" si="10"/>
        <v>4</v>
      </c>
    </row>
    <row r="17" spans="5:34" ht="29.25" customHeight="1" x14ac:dyDescent="0.2">
      <c r="E17" s="31">
        <f>K16+1</f>
        <v>7</v>
      </c>
      <c r="F17" s="32">
        <f>E17+1</f>
        <v>8</v>
      </c>
      <c r="G17" s="32">
        <f t="shared" ref="G17:K17" si="11">F17+1</f>
        <v>9</v>
      </c>
      <c r="H17" s="32">
        <f t="shared" si="11"/>
        <v>10</v>
      </c>
      <c r="I17" s="32">
        <f t="shared" si="11"/>
        <v>11</v>
      </c>
      <c r="J17" s="32">
        <f t="shared" si="11"/>
        <v>12</v>
      </c>
      <c r="K17" s="33">
        <f t="shared" si="11"/>
        <v>13</v>
      </c>
      <c r="M17" s="31">
        <f>S16+1</f>
        <v>5</v>
      </c>
      <c r="N17" s="32">
        <f>M17+1</f>
        <v>6</v>
      </c>
      <c r="O17" s="32">
        <f t="shared" ref="O17:S17" si="12">N17+1</f>
        <v>7</v>
      </c>
      <c r="P17" s="32">
        <f t="shared" si="12"/>
        <v>8</v>
      </c>
      <c r="Q17" s="32">
        <f t="shared" si="12"/>
        <v>9</v>
      </c>
      <c r="R17" s="32">
        <f t="shared" si="12"/>
        <v>10</v>
      </c>
      <c r="S17" s="33">
        <f t="shared" si="12"/>
        <v>11</v>
      </c>
    </row>
    <row r="18" spans="5:34" ht="29.25" customHeight="1" x14ac:dyDescent="0.2">
      <c r="E18" s="31">
        <f t="shared" ref="E18:E19" si="13">K17+1</f>
        <v>14</v>
      </c>
      <c r="F18" s="32">
        <f t="shared" ref="F18:K18" si="14">E18+1</f>
        <v>15</v>
      </c>
      <c r="G18" s="32">
        <f t="shared" si="14"/>
        <v>16</v>
      </c>
      <c r="H18" s="32">
        <f t="shared" si="14"/>
        <v>17</v>
      </c>
      <c r="I18" s="32">
        <f t="shared" si="14"/>
        <v>18</v>
      </c>
      <c r="J18" s="32">
        <f t="shared" si="14"/>
        <v>19</v>
      </c>
      <c r="K18" s="33">
        <f t="shared" si="14"/>
        <v>20</v>
      </c>
      <c r="M18" s="31">
        <f t="shared" ref="M18:M19" si="15">S17+1</f>
        <v>12</v>
      </c>
      <c r="N18" s="32">
        <f t="shared" ref="N18:S18" si="16">M18+1</f>
        <v>13</v>
      </c>
      <c r="O18" s="32">
        <f t="shared" si="16"/>
        <v>14</v>
      </c>
      <c r="P18" s="32">
        <f t="shared" si="16"/>
        <v>15</v>
      </c>
      <c r="Q18" s="32">
        <f t="shared" si="16"/>
        <v>16</v>
      </c>
      <c r="R18" s="32">
        <f t="shared" si="16"/>
        <v>17</v>
      </c>
      <c r="S18" s="33">
        <f t="shared" si="16"/>
        <v>18</v>
      </c>
    </row>
    <row r="19" spans="5:34" ht="29.25" customHeight="1" x14ac:dyDescent="0.2">
      <c r="E19" s="31">
        <f t="shared" si="13"/>
        <v>21</v>
      </c>
      <c r="F19" s="32">
        <f t="shared" ref="F19:K19" si="17">E19+1</f>
        <v>22</v>
      </c>
      <c r="G19" s="32">
        <f t="shared" si="17"/>
        <v>23</v>
      </c>
      <c r="H19" s="32">
        <f t="shared" si="17"/>
        <v>24</v>
      </c>
      <c r="I19" s="32">
        <f t="shared" si="17"/>
        <v>25</v>
      </c>
      <c r="J19" s="32">
        <f t="shared" si="17"/>
        <v>26</v>
      </c>
      <c r="K19" s="33">
        <f t="shared" si="17"/>
        <v>27</v>
      </c>
      <c r="M19" s="31">
        <f t="shared" si="15"/>
        <v>19</v>
      </c>
      <c r="N19" s="32">
        <f t="shared" ref="N19:S19" si="18">M19+1</f>
        <v>20</v>
      </c>
      <c r="O19" s="32">
        <f t="shared" si="18"/>
        <v>21</v>
      </c>
      <c r="P19" s="32">
        <f t="shared" si="18"/>
        <v>22</v>
      </c>
      <c r="Q19" s="32">
        <f t="shared" si="18"/>
        <v>23</v>
      </c>
      <c r="R19" s="32">
        <f t="shared" si="18"/>
        <v>24</v>
      </c>
      <c r="S19" s="33">
        <f t="shared" si="18"/>
        <v>25</v>
      </c>
      <c r="V19" s="41"/>
    </row>
    <row r="20" spans="5:34" ht="29.25" customHeight="1" x14ac:dyDescent="0.2">
      <c r="E20" s="31">
        <f>IFERROR(IF(K19+1&gt;$E$13,"",K19+1),"")</f>
        <v>28</v>
      </c>
      <c r="F20" s="32">
        <f t="shared" ref="F20:K21" si="19">IFERROR(IF(E20+1&gt;$E$13,"",E20+1),"")</f>
        <v>29</v>
      </c>
      <c r="G20" s="32">
        <f t="shared" si="19"/>
        <v>30</v>
      </c>
      <c r="H20" s="32" t="str">
        <f t="shared" si="19"/>
        <v/>
      </c>
      <c r="I20" s="32" t="str">
        <f t="shared" si="19"/>
        <v/>
      </c>
      <c r="J20" s="32" t="str">
        <f t="shared" si="19"/>
        <v/>
      </c>
      <c r="K20" s="33" t="str">
        <f t="shared" si="19"/>
        <v/>
      </c>
      <c r="M20" s="31">
        <f>IFERROR(IF(S19+1&gt;$M$13,"",S19+1),"")</f>
        <v>26</v>
      </c>
      <c r="N20" s="32">
        <f t="shared" ref="N20:S21" si="20">IFERROR(IF(M20+1&gt;$M$13,"",M20+1),"")</f>
        <v>27</v>
      </c>
      <c r="O20" s="32">
        <f t="shared" si="20"/>
        <v>28</v>
      </c>
      <c r="P20" s="32">
        <f t="shared" si="20"/>
        <v>29</v>
      </c>
      <c r="Q20" s="32">
        <f t="shared" si="20"/>
        <v>30</v>
      </c>
      <c r="R20" s="32">
        <f t="shared" si="20"/>
        <v>31</v>
      </c>
      <c r="S20" s="33" t="str">
        <f t="shared" si="20"/>
        <v/>
      </c>
    </row>
    <row r="21" spans="5:34" ht="29.25" customHeight="1" x14ac:dyDescent="0.2">
      <c r="E21" s="34" t="str">
        <f>IFERROR(IF(K20+1&gt;$E$13,"",K20+1),"")</f>
        <v/>
      </c>
      <c r="F21" s="35" t="str">
        <f t="shared" si="19"/>
        <v/>
      </c>
      <c r="G21" s="35" t="str">
        <f t="shared" si="19"/>
        <v/>
      </c>
      <c r="H21" s="35" t="str">
        <f t="shared" si="19"/>
        <v/>
      </c>
      <c r="I21" s="35" t="str">
        <f t="shared" si="19"/>
        <v/>
      </c>
      <c r="J21" s="35" t="str">
        <f t="shared" si="19"/>
        <v/>
      </c>
      <c r="K21" s="36" t="str">
        <f t="shared" si="19"/>
        <v/>
      </c>
      <c r="M21" s="34" t="str">
        <f>IFERROR(IF(S20+1&gt;$M$13,"",S20+1),"")</f>
        <v/>
      </c>
      <c r="N21" s="35" t="str">
        <f t="shared" si="20"/>
        <v/>
      </c>
      <c r="O21" s="35" t="str">
        <f t="shared" si="20"/>
        <v/>
      </c>
      <c r="P21" s="35" t="str">
        <f t="shared" si="20"/>
        <v/>
      </c>
      <c r="Q21" s="35" t="str">
        <f t="shared" si="20"/>
        <v/>
      </c>
      <c r="R21" s="35" t="str">
        <f t="shared" si="20"/>
        <v/>
      </c>
      <c r="S21" s="36" t="str">
        <f t="shared" si="20"/>
        <v/>
      </c>
    </row>
    <row r="22" spans="5:34" ht="11.25" customHeight="1" x14ac:dyDescent="0.2"/>
    <row r="25" spans="5:34" ht="24.95" customHeight="1" x14ac:dyDescent="0.2">
      <c r="T25" s="37">
        <v>41409</v>
      </c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</row>
  </sheetData>
  <phoneticPr fontId="4" type="noConversion"/>
  <printOptions horizontalCentered="1"/>
  <pageMargins left="0.25" right="0.25" top="0.75" bottom="0.75" header="0.3" footer="0.3"/>
  <pageSetup scale="95" orientation="landscape" r:id="rId1"/>
  <headerFooter>
    <oddHeader>&amp;L&amp;20&amp;K04+000SEMESTER SCHEDULE</oddHead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8" id="{6A42FF6F-2BB9-43AE-A8E1-70BD9879AB95}">
            <xm:f>(E7&lt;&gt;"")*(DATEVALUE($U$7&amp;"-"&amp;$F$5&amp;"-"&amp;E7)&gt;=$U$9)*(DATEVALUE($U$7&amp;"-"&amp;$F$5&amp;"-"&amp;E7)&lt;=$U$11)*(MATCH(DATEVALUE($U$7&amp;"-"&amp;$F$5&amp;"-"&amp;E7),工作数据输入!$G:$G,0))</xm:f>
            <x14:dxf>
              <font>
                <b/>
                <i/>
                <color theme="4"/>
              </font>
              <fill>
                <patternFill patternType="none">
                  <bgColor auto="1"/>
                </patternFill>
              </fill>
            </x14:dxf>
          </x14:cfRule>
          <x14:cfRule type="expression" priority="89" id="{278ED9CA-FA67-4761-874A-1F3073BE24E5}">
            <xm:f>(E7&lt;&gt;"")*(DATEVALUE($U$7&amp;"-"&amp;$F$5&amp;"-"&amp;E7)&gt;=$U$9)*(DATEVALUE($U$7&amp;"-"&amp;$F$5&amp;"-"&amp;E7)&lt;=$U$11)*(MATCH(TEXT(DATEVALUE($U$7&amp;"-"&amp;$F$5&amp;"-"&amp;E7),"aaaa"),课程列表!$E$5:$E$1000,0))</xm:f>
            <x14:dxf>
              <font>
                <b/>
                <i val="0"/>
              </font>
              <fill>
                <patternFill>
                  <bgColor theme="5" tint="0.79998168889431442"/>
                </patternFill>
              </fill>
            </x14:dxf>
          </x14:cfRule>
          <xm:sqref>E7:K12</xm:sqref>
        </x14:conditionalFormatting>
        <x14:conditionalFormatting xmlns:xm="http://schemas.microsoft.com/office/excel/2006/main">
          <x14:cfRule type="expression" priority="90" id="{AF716392-6C16-49A1-B40C-1257678D6450}">
            <xm:f>(E16&lt;&gt;"")*(DATEVALUE($U$7&amp;"-"&amp;$F$14&amp;"-"&amp;E16)&gt;=$U$9)*(DATEVALUE($U$7&amp;"-"&amp;$F$14&amp;"-"&amp;E16)&lt;=$U$11)*(MATCH(DATEVALUE($U$7&amp;"-"&amp;$F$14&amp;"-"&amp;E16),工作数据输入!$G:$G,0)&gt;0)</xm:f>
            <x14:dxf>
              <font>
                <b/>
                <i/>
                <color theme="4"/>
              </font>
            </x14:dxf>
          </x14:cfRule>
          <x14:cfRule type="expression" priority="91" id="{2C5B15D7-85CC-44B8-B696-A2B9D5F1C18B}">
            <xm:f>(E16&lt;&gt;"")*(DATEVALUE($U$7&amp;"-"&amp;$F$14&amp;"-"&amp;E16)&gt;=$U$9)*(DATEVALUE($U$7&amp;"-"&amp;$F$14&amp;"-"&amp;E16)&lt;=$U$11)*(MATCH(TEXT(DATEVALUE($U$7&amp;"-"&amp;$F$14&amp;"-"&amp;E16),"aaaa"),课程列表!$E$5:$E$1000,0))</xm:f>
            <x14:dxf>
              <font>
                <b/>
                <i val="0"/>
              </font>
              <fill>
                <patternFill>
                  <bgColor theme="5" tint="0.79998168889431442"/>
                </patternFill>
              </fill>
            </x14:dxf>
          </x14:cfRule>
          <xm:sqref>E16:K21</xm:sqref>
        </x14:conditionalFormatting>
        <x14:conditionalFormatting xmlns:xm="http://schemas.microsoft.com/office/excel/2006/main">
          <x14:cfRule type="expression" priority="92" id="{83BB8D5E-7B5C-4566-A802-24F8F2D1A463}">
            <xm:f>(M16&lt;&gt;"")*(DATEVALUE($U$7&amp;"-"&amp;$N$14&amp;"-"&amp;M16)&gt;=$U$9)*(DATEVALUE($U$7&amp;"-"&amp;$N$14&amp;"-"&amp;M16)&lt;=$U$11)*(MATCH(DATEVALUE($U$7&amp;"-"&amp;$N$14&amp;"-"&amp;M16),工作数据输入!$G:$G,0)&gt;0)</xm:f>
            <x14:dxf>
              <font>
                <b/>
                <i/>
                <color theme="4"/>
              </font>
            </x14:dxf>
          </x14:cfRule>
          <x14:cfRule type="expression" priority="93" id="{514F2F4B-588C-4449-A364-9B72F29D9E6E}">
            <xm:f>(M16&lt;&gt;"")*(DATEVALUE($U$7&amp;"-"&amp;$N$14&amp;"-"&amp;M16)&gt;=$U$9)*(DATEVALUE($U$7&amp;"-"&amp;$N$14&amp;"-"&amp;M16)&lt;=$U$11)*(MATCH(TEXT(DATEVALUE($U$7&amp;"-"&amp;$N$14&amp;"-"&amp;M16),"aaaa"),课程列表!$E$5:$E$1000,0))</xm:f>
            <x14:dxf>
              <font>
                <b/>
                <i val="0"/>
              </font>
              <fill>
                <patternFill>
                  <bgColor theme="5" tint="0.79998168889431442"/>
                </patternFill>
              </fill>
            </x14:dxf>
          </x14:cfRule>
          <xm:sqref>M16:S21</xm:sqref>
        </x14:conditionalFormatting>
        <x14:conditionalFormatting xmlns:xm="http://schemas.microsoft.com/office/excel/2006/main">
          <x14:cfRule type="expression" priority="94" id="{25F2C936-614F-4406-9635-03B2F39A7B7A}">
            <xm:f>(M7&lt;&gt;"")*(DATEVALUE($U$7&amp;"-"&amp;$N$5&amp;"-"&amp;M7)&gt;=$U$9)*(DATEVALUE($U$7&amp;"-"&amp;$N$5&amp;"-"&amp;M7)&lt;=$U$11)*(MATCH(DATEVALUE($U$7&amp;"-"&amp;$N$5&amp;"-"&amp;M7),工作数据输入!$G:$G,0)&gt;0)</xm:f>
            <x14:dxf>
              <font>
                <b/>
                <i/>
                <color theme="4"/>
              </font>
            </x14:dxf>
          </x14:cfRule>
          <x14:cfRule type="expression" priority="95" id="{0C09EE6E-8EB8-456B-BC91-437A9B366FDD}">
            <xm:f>(M7&lt;&gt;"")*(DATEVALUE($U$7&amp;"-"&amp;$N$5&amp;"-"&amp;M7)&gt;=$U$9)*(DATEVALUE($U$7&amp;"-"&amp;$N$5&amp;"-"&amp;M7)&lt;=$U$11)*(MATCH(TEXT(DATEVALUE($U$7&amp;"-"&amp;$N$5&amp;"-"&amp;M7),"aaaa"),课程列表!$E$5:$E$1000,0))</xm:f>
            <x14:dxf>
              <font>
                <b/>
                <i val="0"/>
              </font>
              <fill>
                <patternFill>
                  <bgColor theme="5" tint="0.79998168889431442"/>
                </patternFill>
              </fill>
            </x14:dxf>
          </x14:cfRule>
          <xm:sqref>M7:S12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9740A835-1E74-4D43-A1C2-1F61CCF8553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13</vt:i4>
      </vt:variant>
    </vt:vector>
  </HeadingPairs>
  <TitlesOfParts>
    <vt:vector size="18" baseType="lpstr">
      <vt:lpstr>课程列表</vt:lpstr>
      <vt:lpstr>工作数据输入</vt:lpstr>
      <vt:lpstr>每周日程安排</vt:lpstr>
      <vt:lpstr>作业到期报告</vt:lpstr>
      <vt:lpstr>学期日程安排</vt:lpstr>
      <vt:lpstr>每周日程安排!Print_Titles</vt:lpstr>
      <vt:lpstr>作业到期报告!Print_Titles</vt:lpstr>
      <vt:lpstr>工作数据输入!打印标题</vt:lpstr>
      <vt:lpstr>课程列表!打印标题</vt:lpstr>
      <vt:lpstr>每周日程安排!打印标题</vt:lpstr>
      <vt:lpstr>作业到期报告!打印标题</vt:lpstr>
      <vt:lpstr>工作数据输入!打印区域</vt:lpstr>
      <vt:lpstr>课程列表!打印区域</vt:lpstr>
      <vt:lpstr>学期日程安排!打印区域</vt:lpstr>
      <vt:lpstr>日程安排结束</vt:lpstr>
      <vt:lpstr>日程安排开始</vt:lpstr>
      <vt:lpstr>日程安排年</vt:lpstr>
      <vt:lpstr>日程安排学期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King</dc:creator>
  <cp:keywords/>
  <cp:lastModifiedBy>King</cp:lastModifiedBy>
  <dcterms:created xsi:type="dcterms:W3CDTF">2016-05-15T07:14:09Z</dcterms:created>
  <dcterms:modified xsi:type="dcterms:W3CDTF">2016-05-15T07:14:12Z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TC039870559991</vt:lpwstr>
  </property>
</Properties>
</file>